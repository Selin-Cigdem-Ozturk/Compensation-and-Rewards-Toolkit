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24226"/>
  <mc:AlternateContent xmlns:mc="http://schemas.openxmlformats.org/markup-compatibility/2006">
    <mc:Choice Requires="x15">
      <x15ac:absPath xmlns:x15ac="http://schemas.microsoft.com/office/spreadsheetml/2010/11/ac" url="/Users/selincigdemozturk/Desktop/Portfolios/"/>
    </mc:Choice>
  </mc:AlternateContent>
  <xr:revisionPtr revIDLastSave="0" documentId="13_ncr:1_{BDB4DF7F-0606-664D-B030-6E89DAE391F4}" xr6:coauthVersionLast="47" xr6:coauthVersionMax="47" xr10:uidLastSave="{00000000-0000-0000-0000-000000000000}"/>
  <bookViews>
    <workbookView xWindow="0" yWindow="500" windowWidth="33600" windowHeight="18720" xr2:uid="{00000000-000D-0000-FFFF-FFFF00000000}"/>
  </bookViews>
  <sheets>
    <sheet name="Employee Master Dataset" sheetId="14" r:id="rId1"/>
    <sheet name="Merit Increase Impact (2026)" sheetId="15" r:id="rId2"/>
    <sheet name="Survey Matching" sheetId="8" r:id="rId3"/>
    <sheet name="Salary Band Structure" sheetId="7" r:id="rId4"/>
    <sheet name="Merit Matrix" sheetId="9" r:id="rId5"/>
    <sheet name="STI Notes" sheetId="16" r:id="rId6"/>
    <sheet name="Notes for Employee Dataset" sheetId="3" r:id="rId7"/>
  </sheets>
  <definedNames>
    <definedName name="Slicer_Department1">#N/A</definedName>
  </definedNames>
  <calcPr calcId="191028"/>
  <pivotCaches>
    <pivotCache cacheId="36"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9" l="1"/>
  <c r="J10" i="9" s="1"/>
  <c r="J9" i="9"/>
  <c r="I3" i="7"/>
  <c r="I4" i="7"/>
  <c r="I5" i="7"/>
  <c r="I6" i="7"/>
  <c r="I7" i="7"/>
  <c r="I8" i="7"/>
  <c r="H3" i="7"/>
  <c r="H4" i="7"/>
  <c r="H5" i="7"/>
  <c r="H6" i="7"/>
  <c r="H7" i="7"/>
  <c r="H8" i="7"/>
  <c r="G3" i="7"/>
  <c r="G4" i="7"/>
  <c r="G5" i="7"/>
  <c r="G6" i="7"/>
  <c r="G7" i="7"/>
  <c r="G8" i="7"/>
  <c r="AE251" i="14" a="1"/>
  <c r="AE251" i="14" s="1"/>
  <c r="Q251" i="14"/>
  <c r="R251" i="14" s="1"/>
  <c r="T251" i="14" s="1"/>
  <c r="U251" i="14" s="1"/>
  <c r="V251" i="14" s="1"/>
  <c r="X251" i="14" s="1"/>
  <c r="Z251" i="14" s="1"/>
  <c r="AE250" i="14" a="1"/>
  <c r="AE250" i="14" s="1"/>
  <c r="Q250" i="14"/>
  <c r="R250" i="14" s="1"/>
  <c r="T250" i="14" s="1"/>
  <c r="U250" i="14" s="1"/>
  <c r="V250" i="14" s="1"/>
  <c r="X250" i="14" s="1"/>
  <c r="Z250" i="14" s="1"/>
  <c r="AE249" i="14" a="1"/>
  <c r="AE249" i="14" s="1"/>
  <c r="Q249" i="14"/>
  <c r="R249" i="14" s="1"/>
  <c r="T249" i="14" s="1"/>
  <c r="U249" i="14" s="1"/>
  <c r="V249" i="14" s="1"/>
  <c r="X249" i="14" s="1"/>
  <c r="Z249" i="14" s="1"/>
  <c r="AE248" i="14" a="1"/>
  <c r="AE248" i="14" s="1"/>
  <c r="Q248" i="14"/>
  <c r="R248" i="14" s="1"/>
  <c r="T248" i="14" s="1"/>
  <c r="U248" i="14" s="1"/>
  <c r="V248" i="14" s="1"/>
  <c r="X248" i="14" s="1"/>
  <c r="Z248" i="14" s="1"/>
  <c r="AE247" i="14" a="1"/>
  <c r="AE247" i="14" s="1"/>
  <c r="Q247" i="14"/>
  <c r="R247" i="14" s="1"/>
  <c r="T247" i="14" s="1"/>
  <c r="U247" i="14" s="1"/>
  <c r="V247" i="14" s="1"/>
  <c r="X247" i="14" s="1"/>
  <c r="Z247" i="14" s="1"/>
  <c r="AE246" i="14" a="1"/>
  <c r="AE246" i="14" s="1"/>
  <c r="Q246" i="14"/>
  <c r="R246" i="14" s="1"/>
  <c r="T246" i="14" s="1"/>
  <c r="U246" i="14" s="1"/>
  <c r="V246" i="14" s="1"/>
  <c r="X246" i="14" s="1"/>
  <c r="Z246" i="14" s="1"/>
  <c r="AE245" i="14" a="1"/>
  <c r="AE245" i="14" s="1"/>
  <c r="Q245" i="14"/>
  <c r="R245" i="14" s="1"/>
  <c r="T245" i="14" s="1"/>
  <c r="U245" i="14" s="1"/>
  <c r="V245" i="14" s="1"/>
  <c r="X245" i="14" s="1"/>
  <c r="Z245" i="14" s="1"/>
  <c r="AE244" i="14" a="1"/>
  <c r="AE244" i="14" s="1"/>
  <c r="Q244" i="14"/>
  <c r="R244" i="14" s="1"/>
  <c r="T244" i="14" s="1"/>
  <c r="U244" i="14" s="1"/>
  <c r="V244" i="14" s="1"/>
  <c r="X244" i="14" s="1"/>
  <c r="Z244" i="14" s="1"/>
  <c r="AE243" i="14" a="1"/>
  <c r="AE243" i="14" s="1"/>
  <c r="Q243" i="14"/>
  <c r="R243" i="14" s="1"/>
  <c r="T243" i="14" s="1"/>
  <c r="U243" i="14" s="1"/>
  <c r="V243" i="14" s="1"/>
  <c r="X243" i="14" s="1"/>
  <c r="Z243" i="14" s="1"/>
  <c r="AE242" i="14" a="1"/>
  <c r="AE242" i="14" s="1"/>
  <c r="Q242" i="14"/>
  <c r="R242" i="14" s="1"/>
  <c r="T242" i="14" s="1"/>
  <c r="U242" i="14" s="1"/>
  <c r="V242" i="14" s="1"/>
  <c r="X242" i="14" s="1"/>
  <c r="Z242" i="14" s="1"/>
  <c r="AE241" i="14" a="1"/>
  <c r="AE241" i="14" s="1"/>
  <c r="Q241" i="14"/>
  <c r="R241" i="14" s="1"/>
  <c r="T241" i="14" s="1"/>
  <c r="U241" i="14" s="1"/>
  <c r="V241" i="14" s="1"/>
  <c r="X241" i="14" s="1"/>
  <c r="Z241" i="14" s="1"/>
  <c r="AE240" i="14" a="1"/>
  <c r="AE240" i="14" s="1"/>
  <c r="Q240" i="14"/>
  <c r="R240" i="14" s="1"/>
  <c r="T240" i="14" s="1"/>
  <c r="U240" i="14" s="1"/>
  <c r="V240" i="14" s="1"/>
  <c r="X240" i="14" s="1"/>
  <c r="Z240" i="14" s="1"/>
  <c r="AE239" i="14" a="1"/>
  <c r="AE239" i="14" s="1"/>
  <c r="Q239" i="14"/>
  <c r="R239" i="14" s="1"/>
  <c r="T239" i="14" s="1"/>
  <c r="U239" i="14" s="1"/>
  <c r="V239" i="14" s="1"/>
  <c r="X239" i="14" s="1"/>
  <c r="Z239" i="14" s="1"/>
  <c r="AE238" i="14" a="1"/>
  <c r="AE238" i="14" s="1"/>
  <c r="Q238" i="14"/>
  <c r="R238" i="14" s="1"/>
  <c r="T238" i="14" s="1"/>
  <c r="U238" i="14" s="1"/>
  <c r="V238" i="14" s="1"/>
  <c r="X238" i="14" s="1"/>
  <c r="Z238" i="14" s="1"/>
  <c r="AE237" i="14" a="1"/>
  <c r="AE237" i="14" s="1"/>
  <c r="Q237" i="14"/>
  <c r="R237" i="14" s="1"/>
  <c r="T237" i="14" s="1"/>
  <c r="U237" i="14" s="1"/>
  <c r="V237" i="14" s="1"/>
  <c r="X237" i="14" s="1"/>
  <c r="Z237" i="14" s="1"/>
  <c r="AE236" i="14" a="1"/>
  <c r="AE236" i="14" s="1"/>
  <c r="Q236" i="14"/>
  <c r="R236" i="14" s="1"/>
  <c r="T236" i="14" s="1"/>
  <c r="U236" i="14" s="1"/>
  <c r="V236" i="14" s="1"/>
  <c r="X236" i="14" s="1"/>
  <c r="Z236" i="14" s="1"/>
  <c r="AE235" i="14" a="1"/>
  <c r="AE235" i="14" s="1"/>
  <c r="Q235" i="14"/>
  <c r="R235" i="14" s="1"/>
  <c r="T235" i="14" s="1"/>
  <c r="U235" i="14" s="1"/>
  <c r="V235" i="14" s="1"/>
  <c r="X235" i="14" s="1"/>
  <c r="Z235" i="14" s="1"/>
  <c r="AE234" i="14" a="1"/>
  <c r="AE234" i="14" s="1"/>
  <c r="Q234" i="14"/>
  <c r="R234" i="14" s="1"/>
  <c r="T234" i="14" s="1"/>
  <c r="U234" i="14" s="1"/>
  <c r="V234" i="14" s="1"/>
  <c r="X234" i="14" s="1"/>
  <c r="Z234" i="14" s="1"/>
  <c r="AE233" i="14" a="1"/>
  <c r="AE233" i="14" s="1"/>
  <c r="Q233" i="14"/>
  <c r="R233" i="14" s="1"/>
  <c r="T233" i="14" s="1"/>
  <c r="U233" i="14" s="1"/>
  <c r="V233" i="14" s="1"/>
  <c r="X233" i="14" s="1"/>
  <c r="Z233" i="14" s="1"/>
  <c r="AE232" i="14" a="1"/>
  <c r="AE232" i="14" s="1"/>
  <c r="Q232" i="14"/>
  <c r="R232" i="14" s="1"/>
  <c r="T232" i="14" s="1"/>
  <c r="U232" i="14" s="1"/>
  <c r="V232" i="14" s="1"/>
  <c r="X232" i="14" s="1"/>
  <c r="Z232" i="14" s="1"/>
  <c r="AE231" i="14" a="1"/>
  <c r="AE231" i="14" s="1"/>
  <c r="Q231" i="14"/>
  <c r="R231" i="14" s="1"/>
  <c r="T231" i="14" s="1"/>
  <c r="U231" i="14" s="1"/>
  <c r="V231" i="14" s="1"/>
  <c r="X231" i="14" s="1"/>
  <c r="Z231" i="14" s="1"/>
  <c r="AE230" i="14" a="1"/>
  <c r="AE230" i="14" s="1"/>
  <c r="Q230" i="14"/>
  <c r="R230" i="14" s="1"/>
  <c r="T230" i="14" s="1"/>
  <c r="U230" i="14" s="1"/>
  <c r="V230" i="14" s="1"/>
  <c r="X230" i="14" s="1"/>
  <c r="Z230" i="14" s="1"/>
  <c r="AE229" i="14" a="1"/>
  <c r="AE229" i="14" s="1"/>
  <c r="Q229" i="14"/>
  <c r="R229" i="14" s="1"/>
  <c r="T229" i="14" s="1"/>
  <c r="U229" i="14" s="1"/>
  <c r="V229" i="14" s="1"/>
  <c r="X229" i="14" s="1"/>
  <c r="Z229" i="14" s="1"/>
  <c r="AE228" i="14" a="1"/>
  <c r="AE228" i="14" s="1"/>
  <c r="Q228" i="14"/>
  <c r="R228" i="14" s="1"/>
  <c r="T228" i="14" s="1"/>
  <c r="U228" i="14" s="1"/>
  <c r="V228" i="14" s="1"/>
  <c r="AD228" i="14" s="1"/>
  <c r="AE227" i="14" a="1"/>
  <c r="AE227" i="14" s="1"/>
  <c r="Q227" i="14"/>
  <c r="R227" i="14" s="1"/>
  <c r="T227" i="14" s="1"/>
  <c r="U227" i="14" s="1"/>
  <c r="V227" i="14" s="1"/>
  <c r="X227" i="14" s="1"/>
  <c r="Z227" i="14" s="1"/>
  <c r="AE226" i="14" a="1"/>
  <c r="AE226" i="14" s="1"/>
  <c r="Q226" i="14"/>
  <c r="R226" i="14" s="1"/>
  <c r="T226" i="14" s="1"/>
  <c r="U226" i="14" s="1"/>
  <c r="V226" i="14" s="1"/>
  <c r="X226" i="14" s="1"/>
  <c r="Z226" i="14" s="1"/>
  <c r="AE225" i="14" a="1"/>
  <c r="AE225" i="14" s="1"/>
  <c r="Q225" i="14"/>
  <c r="R225" i="14" s="1"/>
  <c r="T225" i="14" s="1"/>
  <c r="U225" i="14" s="1"/>
  <c r="V225" i="14" s="1"/>
  <c r="X225" i="14" s="1"/>
  <c r="Z225" i="14" s="1"/>
  <c r="AE224" i="14" a="1"/>
  <c r="AE224" i="14" s="1"/>
  <c r="Q224" i="14"/>
  <c r="R224" i="14" s="1"/>
  <c r="T224" i="14" s="1"/>
  <c r="U224" i="14" s="1"/>
  <c r="V224" i="14" s="1"/>
  <c r="X224" i="14" s="1"/>
  <c r="Z224" i="14" s="1"/>
  <c r="AE223" i="14" a="1"/>
  <c r="AE223" i="14" s="1"/>
  <c r="Q223" i="14"/>
  <c r="R223" i="14" s="1"/>
  <c r="T223" i="14" s="1"/>
  <c r="U223" i="14" s="1"/>
  <c r="V223" i="14" s="1"/>
  <c r="X223" i="14" s="1"/>
  <c r="Z223" i="14" s="1"/>
  <c r="AE222" i="14" a="1"/>
  <c r="AE222" i="14" s="1"/>
  <c r="Q222" i="14"/>
  <c r="R222" i="14" s="1"/>
  <c r="T222" i="14" s="1"/>
  <c r="U222" i="14" s="1"/>
  <c r="V222" i="14" s="1"/>
  <c r="X222" i="14" s="1"/>
  <c r="Z222" i="14" s="1"/>
  <c r="AE221" i="14" a="1"/>
  <c r="AE221" i="14" s="1"/>
  <c r="Q221" i="14"/>
  <c r="R221" i="14" s="1"/>
  <c r="T221" i="14" s="1"/>
  <c r="U221" i="14" s="1"/>
  <c r="V221" i="14" s="1"/>
  <c r="AE220" i="14" a="1"/>
  <c r="AE220" i="14" s="1"/>
  <c r="Q220" i="14"/>
  <c r="R220" i="14" s="1"/>
  <c r="T220" i="14" s="1"/>
  <c r="U220" i="14" s="1"/>
  <c r="V220" i="14" s="1"/>
  <c r="X220" i="14" s="1"/>
  <c r="Z220" i="14" s="1"/>
  <c r="AE219" i="14" a="1"/>
  <c r="AE219" i="14" s="1"/>
  <c r="Q219" i="14"/>
  <c r="R219" i="14" s="1"/>
  <c r="T219" i="14" s="1"/>
  <c r="U219" i="14" s="1"/>
  <c r="V219" i="14" s="1"/>
  <c r="X219" i="14" s="1"/>
  <c r="Z219" i="14" s="1"/>
  <c r="AE218" i="14" a="1"/>
  <c r="AE218" i="14" s="1"/>
  <c r="Q218" i="14"/>
  <c r="R218" i="14" s="1"/>
  <c r="T218" i="14" s="1"/>
  <c r="U218" i="14" s="1"/>
  <c r="V218" i="14" s="1"/>
  <c r="X218" i="14" s="1"/>
  <c r="Z218" i="14" s="1"/>
  <c r="AE217" i="14" a="1"/>
  <c r="AE217" i="14" s="1"/>
  <c r="Q217" i="14"/>
  <c r="R217" i="14" s="1"/>
  <c r="T217" i="14" s="1"/>
  <c r="U217" i="14" s="1"/>
  <c r="V217" i="14" s="1"/>
  <c r="X217" i="14" s="1"/>
  <c r="Z217" i="14" s="1"/>
  <c r="AE216" i="14" a="1"/>
  <c r="AE216" i="14" s="1"/>
  <c r="Q216" i="14"/>
  <c r="R216" i="14" s="1"/>
  <c r="T216" i="14" s="1"/>
  <c r="U216" i="14" s="1"/>
  <c r="V216" i="14" s="1"/>
  <c r="X216" i="14" s="1"/>
  <c r="Z216" i="14" s="1"/>
  <c r="AE215" i="14" a="1"/>
  <c r="AE215" i="14" s="1"/>
  <c r="Q215" i="14"/>
  <c r="R215" i="14" s="1"/>
  <c r="T215" i="14" s="1"/>
  <c r="U215" i="14" s="1"/>
  <c r="V215" i="14" s="1"/>
  <c r="AE214" i="14" a="1"/>
  <c r="AE214" i="14" s="1"/>
  <c r="Q214" i="14"/>
  <c r="R214" i="14" s="1"/>
  <c r="T214" i="14" s="1"/>
  <c r="U214" i="14" s="1"/>
  <c r="V214" i="14" s="1"/>
  <c r="X214" i="14" s="1"/>
  <c r="Z214" i="14" s="1"/>
  <c r="AE213" i="14" a="1"/>
  <c r="AE213" i="14" s="1"/>
  <c r="Q213" i="14"/>
  <c r="R213" i="14" s="1"/>
  <c r="T213" i="14" s="1"/>
  <c r="U213" i="14" s="1"/>
  <c r="V213" i="14" s="1"/>
  <c r="X213" i="14" s="1"/>
  <c r="Z213" i="14" s="1"/>
  <c r="AE212" i="14" a="1"/>
  <c r="AE212" i="14" s="1"/>
  <c r="Q212" i="14"/>
  <c r="R212" i="14" s="1"/>
  <c r="T212" i="14" s="1"/>
  <c r="U212" i="14" s="1"/>
  <c r="V212" i="14" s="1"/>
  <c r="X212" i="14" s="1"/>
  <c r="Z212" i="14" s="1"/>
  <c r="AE211" i="14" a="1"/>
  <c r="AE211" i="14" s="1"/>
  <c r="Q211" i="14"/>
  <c r="R211" i="14" s="1"/>
  <c r="T211" i="14" s="1"/>
  <c r="U211" i="14" s="1"/>
  <c r="V211" i="14" s="1"/>
  <c r="X211" i="14" s="1"/>
  <c r="Z211" i="14" s="1"/>
  <c r="AE210" i="14" a="1"/>
  <c r="AE210" i="14" s="1"/>
  <c r="Q210" i="14"/>
  <c r="R210" i="14" s="1"/>
  <c r="T210" i="14" s="1"/>
  <c r="U210" i="14" s="1"/>
  <c r="V210" i="14" s="1"/>
  <c r="AD210" i="14" s="1"/>
  <c r="AE209" i="14" a="1"/>
  <c r="AE209" i="14" s="1"/>
  <c r="Q209" i="14"/>
  <c r="R209" i="14" s="1"/>
  <c r="T209" i="14" s="1"/>
  <c r="U209" i="14" s="1"/>
  <c r="V209" i="14" s="1"/>
  <c r="X209" i="14" s="1"/>
  <c r="Z209" i="14" s="1"/>
  <c r="AE208" i="14" a="1"/>
  <c r="AE208" i="14" s="1"/>
  <c r="Q208" i="14"/>
  <c r="R208" i="14" s="1"/>
  <c r="T208" i="14" s="1"/>
  <c r="U208" i="14" s="1"/>
  <c r="V208" i="14" s="1"/>
  <c r="X208" i="14" s="1"/>
  <c r="Z208" i="14" s="1"/>
  <c r="AE207" i="14" a="1"/>
  <c r="AE207" i="14" s="1"/>
  <c r="Q207" i="14"/>
  <c r="R207" i="14" s="1"/>
  <c r="T207" i="14" s="1"/>
  <c r="U207" i="14" s="1"/>
  <c r="V207" i="14" s="1"/>
  <c r="X207" i="14" s="1"/>
  <c r="Z207" i="14" s="1"/>
  <c r="AE206" i="14" a="1"/>
  <c r="AE206" i="14" s="1"/>
  <c r="Q206" i="14"/>
  <c r="R206" i="14" s="1"/>
  <c r="T206" i="14" s="1"/>
  <c r="U206" i="14" s="1"/>
  <c r="V206" i="14" s="1"/>
  <c r="X206" i="14" s="1"/>
  <c r="Z206" i="14" s="1"/>
  <c r="AE205" i="14" a="1"/>
  <c r="AE205" i="14" s="1"/>
  <c r="Q205" i="14"/>
  <c r="R205" i="14" s="1"/>
  <c r="T205" i="14" s="1"/>
  <c r="U205" i="14" s="1"/>
  <c r="V205" i="14" s="1"/>
  <c r="X205" i="14" s="1"/>
  <c r="Z205" i="14" s="1"/>
  <c r="AE204" i="14" a="1"/>
  <c r="AE204" i="14" s="1"/>
  <c r="Q204" i="14"/>
  <c r="R204" i="14" s="1"/>
  <c r="T204" i="14" s="1"/>
  <c r="U204" i="14" s="1"/>
  <c r="V204" i="14" s="1"/>
  <c r="X204" i="14" s="1"/>
  <c r="Z204" i="14" s="1"/>
  <c r="AE203" i="14" a="1"/>
  <c r="AE203" i="14" s="1"/>
  <c r="Q203" i="14"/>
  <c r="R203" i="14" s="1"/>
  <c r="T203" i="14" s="1"/>
  <c r="U203" i="14" s="1"/>
  <c r="V203" i="14" s="1"/>
  <c r="X203" i="14" s="1"/>
  <c r="Z203" i="14" s="1"/>
  <c r="AE202" i="14" a="1"/>
  <c r="AE202" i="14" s="1"/>
  <c r="Q202" i="14"/>
  <c r="R202" i="14" s="1"/>
  <c r="T202" i="14" s="1"/>
  <c r="U202" i="14" s="1"/>
  <c r="V202" i="14" s="1"/>
  <c r="X202" i="14" s="1"/>
  <c r="Z202" i="14" s="1"/>
  <c r="AE201" i="14" a="1"/>
  <c r="AE201" i="14" s="1"/>
  <c r="Q201" i="14"/>
  <c r="R201" i="14" s="1"/>
  <c r="T201" i="14" s="1"/>
  <c r="U201" i="14" s="1"/>
  <c r="V201" i="14" s="1"/>
  <c r="X201" i="14" s="1"/>
  <c r="Z201" i="14" s="1"/>
  <c r="AE200" i="14" a="1"/>
  <c r="AE200" i="14" s="1"/>
  <c r="Q200" i="14"/>
  <c r="R200" i="14" s="1"/>
  <c r="T200" i="14" s="1"/>
  <c r="U200" i="14" s="1"/>
  <c r="V200" i="14" s="1"/>
  <c r="X200" i="14" s="1"/>
  <c r="Z200" i="14" s="1"/>
  <c r="AE199" i="14" a="1"/>
  <c r="AE199" i="14" s="1"/>
  <c r="Q199" i="14"/>
  <c r="R199" i="14" s="1"/>
  <c r="T199" i="14" s="1"/>
  <c r="U199" i="14" s="1"/>
  <c r="V199" i="14" s="1"/>
  <c r="X199" i="14" s="1"/>
  <c r="Z199" i="14" s="1"/>
  <c r="AE198" i="14" a="1"/>
  <c r="AE198" i="14" s="1"/>
  <c r="Q198" i="14"/>
  <c r="R198" i="14" s="1"/>
  <c r="T198" i="14" s="1"/>
  <c r="U198" i="14" s="1"/>
  <c r="V198" i="14" s="1"/>
  <c r="AD198" i="14" s="1"/>
  <c r="AE197" i="14" a="1"/>
  <c r="AE197" i="14" s="1"/>
  <c r="Q197" i="14"/>
  <c r="R197" i="14" s="1"/>
  <c r="T197" i="14" s="1"/>
  <c r="U197" i="14" s="1"/>
  <c r="V197" i="14" s="1"/>
  <c r="X197" i="14" s="1"/>
  <c r="Z197" i="14" s="1"/>
  <c r="AE196" i="14" a="1"/>
  <c r="AE196" i="14" s="1"/>
  <c r="Q196" i="14"/>
  <c r="R196" i="14" s="1"/>
  <c r="T196" i="14" s="1"/>
  <c r="U196" i="14" s="1"/>
  <c r="V196" i="14" s="1"/>
  <c r="X196" i="14" s="1"/>
  <c r="Z196" i="14" s="1"/>
  <c r="AE195" i="14" a="1"/>
  <c r="AE195" i="14" s="1"/>
  <c r="Q195" i="14"/>
  <c r="R195" i="14" s="1"/>
  <c r="T195" i="14" s="1"/>
  <c r="U195" i="14" s="1"/>
  <c r="V195" i="14" s="1"/>
  <c r="X195" i="14" s="1"/>
  <c r="Z195" i="14" s="1"/>
  <c r="AE194" i="14" a="1"/>
  <c r="AE194" i="14" s="1"/>
  <c r="Q194" i="14"/>
  <c r="R194" i="14" s="1"/>
  <c r="T194" i="14" s="1"/>
  <c r="U194" i="14" s="1"/>
  <c r="V194" i="14" s="1"/>
  <c r="X194" i="14" s="1"/>
  <c r="Z194" i="14" s="1"/>
  <c r="AE193" i="14" a="1"/>
  <c r="AE193" i="14" s="1"/>
  <c r="Q193" i="14"/>
  <c r="R193" i="14" s="1"/>
  <c r="T193" i="14" s="1"/>
  <c r="U193" i="14" s="1"/>
  <c r="V193" i="14" s="1"/>
  <c r="X193" i="14" s="1"/>
  <c r="Z193" i="14" s="1"/>
  <c r="AE192" i="14" a="1"/>
  <c r="AE192" i="14" s="1"/>
  <c r="Q192" i="14"/>
  <c r="R192" i="14" s="1"/>
  <c r="T192" i="14" s="1"/>
  <c r="U192" i="14" s="1"/>
  <c r="V192" i="14" s="1"/>
  <c r="X192" i="14" s="1"/>
  <c r="Z192" i="14" s="1"/>
  <c r="AE191" i="14" a="1"/>
  <c r="AE191" i="14" s="1"/>
  <c r="Q191" i="14"/>
  <c r="R191" i="14" s="1"/>
  <c r="T191" i="14" s="1"/>
  <c r="U191" i="14" s="1"/>
  <c r="V191" i="14" s="1"/>
  <c r="X191" i="14" s="1"/>
  <c r="Z191" i="14" s="1"/>
  <c r="AE190" i="14" a="1"/>
  <c r="AE190" i="14" s="1"/>
  <c r="Q190" i="14"/>
  <c r="R190" i="14" s="1"/>
  <c r="T190" i="14" s="1"/>
  <c r="U190" i="14" s="1"/>
  <c r="V190" i="14" s="1"/>
  <c r="X190" i="14" s="1"/>
  <c r="Z190" i="14" s="1"/>
  <c r="AE189" i="14" a="1"/>
  <c r="AE189" i="14" s="1"/>
  <c r="Q189" i="14"/>
  <c r="R189" i="14" s="1"/>
  <c r="T189" i="14" s="1"/>
  <c r="U189" i="14" s="1"/>
  <c r="V189" i="14" s="1"/>
  <c r="AE188" i="14" a="1"/>
  <c r="AE188" i="14" s="1"/>
  <c r="Q188" i="14"/>
  <c r="R188" i="14" s="1"/>
  <c r="T188" i="14" s="1"/>
  <c r="U188" i="14" s="1"/>
  <c r="V188" i="14" s="1"/>
  <c r="X188" i="14" s="1"/>
  <c r="Z188" i="14" s="1"/>
  <c r="AE187" i="14" a="1"/>
  <c r="AE187" i="14" s="1"/>
  <c r="Q187" i="14"/>
  <c r="R187" i="14" s="1"/>
  <c r="T187" i="14" s="1"/>
  <c r="U187" i="14" s="1"/>
  <c r="V187" i="14" s="1"/>
  <c r="X187" i="14" s="1"/>
  <c r="Z187" i="14" s="1"/>
  <c r="AE186" i="14" a="1"/>
  <c r="AE186" i="14" s="1"/>
  <c r="Q186" i="14"/>
  <c r="R186" i="14" s="1"/>
  <c r="T186" i="14" s="1"/>
  <c r="U186" i="14" s="1"/>
  <c r="V186" i="14" s="1"/>
  <c r="AD186" i="14" s="1"/>
  <c r="AE185" i="14" a="1"/>
  <c r="AE185" i="14" s="1"/>
  <c r="Q185" i="14"/>
  <c r="R185" i="14" s="1"/>
  <c r="T185" i="14" s="1"/>
  <c r="U185" i="14" s="1"/>
  <c r="V185" i="14" s="1"/>
  <c r="X185" i="14" s="1"/>
  <c r="Z185" i="14" s="1"/>
  <c r="AE184" i="14" a="1"/>
  <c r="AE184" i="14" s="1"/>
  <c r="Q184" i="14"/>
  <c r="R184" i="14" s="1"/>
  <c r="T184" i="14" s="1"/>
  <c r="U184" i="14" s="1"/>
  <c r="V184" i="14" s="1"/>
  <c r="X184" i="14" s="1"/>
  <c r="Z184" i="14" s="1"/>
  <c r="AE183" i="14" a="1"/>
  <c r="AE183" i="14" s="1"/>
  <c r="Q183" i="14"/>
  <c r="R183" i="14" s="1"/>
  <c r="T183" i="14" s="1"/>
  <c r="U183" i="14" s="1"/>
  <c r="V183" i="14" s="1"/>
  <c r="X183" i="14" s="1"/>
  <c r="Z183" i="14" s="1"/>
  <c r="AE182" i="14" a="1"/>
  <c r="AE182" i="14" s="1"/>
  <c r="Q182" i="14"/>
  <c r="R182" i="14" s="1"/>
  <c r="T182" i="14" s="1"/>
  <c r="U182" i="14" s="1"/>
  <c r="V182" i="14" s="1"/>
  <c r="X182" i="14" s="1"/>
  <c r="Z182" i="14" s="1"/>
  <c r="AE181" i="14" a="1"/>
  <c r="AE181" i="14" s="1"/>
  <c r="Q181" i="14"/>
  <c r="R181" i="14" s="1"/>
  <c r="T181" i="14" s="1"/>
  <c r="U181" i="14" s="1"/>
  <c r="V181" i="14" s="1"/>
  <c r="X181" i="14" s="1"/>
  <c r="Z181" i="14" s="1"/>
  <c r="AE180" i="14" a="1"/>
  <c r="AE180" i="14" s="1"/>
  <c r="Q180" i="14"/>
  <c r="R180" i="14" s="1"/>
  <c r="T180" i="14" s="1"/>
  <c r="U180" i="14" s="1"/>
  <c r="V180" i="14" s="1"/>
  <c r="X180" i="14" s="1"/>
  <c r="Z180" i="14" s="1"/>
  <c r="AC180" i="14" s="1"/>
  <c r="AE179" i="14" a="1"/>
  <c r="AE179" i="14" s="1"/>
  <c r="Q179" i="14"/>
  <c r="R179" i="14" s="1"/>
  <c r="T179" i="14" s="1"/>
  <c r="U179" i="14" s="1"/>
  <c r="V179" i="14" s="1"/>
  <c r="AE178" i="14" a="1"/>
  <c r="AE178" i="14" s="1"/>
  <c r="Q178" i="14"/>
  <c r="R178" i="14" s="1"/>
  <c r="T178" i="14" s="1"/>
  <c r="U178" i="14" s="1"/>
  <c r="V178" i="14" s="1"/>
  <c r="X178" i="14" s="1"/>
  <c r="Z178" i="14" s="1"/>
  <c r="AE177" i="14" a="1"/>
  <c r="AE177" i="14" s="1"/>
  <c r="Q177" i="14"/>
  <c r="R177" i="14" s="1"/>
  <c r="T177" i="14" s="1"/>
  <c r="U177" i="14" s="1"/>
  <c r="V177" i="14" s="1"/>
  <c r="X177" i="14" s="1"/>
  <c r="Z177" i="14" s="1"/>
  <c r="AE176" i="14" a="1"/>
  <c r="AE176" i="14" s="1"/>
  <c r="Q176" i="14"/>
  <c r="R176" i="14" s="1"/>
  <c r="T176" i="14" s="1"/>
  <c r="U176" i="14" s="1"/>
  <c r="V176" i="14" s="1"/>
  <c r="X176" i="14" s="1"/>
  <c r="Z176" i="14" s="1"/>
  <c r="AE175" i="14" a="1"/>
  <c r="AE175" i="14" s="1"/>
  <c r="Q175" i="14"/>
  <c r="R175" i="14" s="1"/>
  <c r="T175" i="14" s="1"/>
  <c r="U175" i="14" s="1"/>
  <c r="V175" i="14" s="1"/>
  <c r="X175" i="14" s="1"/>
  <c r="Z175" i="14" s="1"/>
  <c r="AE174" i="14" a="1"/>
  <c r="AE174" i="14" s="1"/>
  <c r="Q174" i="14"/>
  <c r="R174" i="14" s="1"/>
  <c r="T174" i="14" s="1"/>
  <c r="U174" i="14" s="1"/>
  <c r="V174" i="14" s="1"/>
  <c r="X174" i="14" s="1"/>
  <c r="Z174" i="14" s="1"/>
  <c r="AE173" i="14" a="1"/>
  <c r="AE173" i="14" s="1"/>
  <c r="Q173" i="14"/>
  <c r="R173" i="14" s="1"/>
  <c r="T173" i="14" s="1"/>
  <c r="U173" i="14" s="1"/>
  <c r="V173" i="14" s="1"/>
  <c r="AE172" i="14" a="1"/>
  <c r="AE172" i="14" s="1"/>
  <c r="Q172" i="14"/>
  <c r="R172" i="14" s="1"/>
  <c r="T172" i="14" s="1"/>
  <c r="U172" i="14" s="1"/>
  <c r="V172" i="14" s="1"/>
  <c r="X172" i="14" s="1"/>
  <c r="Z172" i="14" s="1"/>
  <c r="AE171" i="14" a="1"/>
  <c r="AE171" i="14" s="1"/>
  <c r="Q171" i="14"/>
  <c r="R171" i="14" s="1"/>
  <c r="T171" i="14" s="1"/>
  <c r="U171" i="14" s="1"/>
  <c r="V171" i="14" s="1"/>
  <c r="X171" i="14" s="1"/>
  <c r="Z171" i="14" s="1"/>
  <c r="AE170" i="14" a="1"/>
  <c r="AE170" i="14" s="1"/>
  <c r="Q170" i="14"/>
  <c r="R170" i="14" s="1"/>
  <c r="T170" i="14" s="1"/>
  <c r="U170" i="14" s="1"/>
  <c r="V170" i="14" s="1"/>
  <c r="X170" i="14" s="1"/>
  <c r="Z170" i="14" s="1"/>
  <c r="AE169" i="14" a="1"/>
  <c r="AE169" i="14" s="1"/>
  <c r="Q169" i="14"/>
  <c r="R169" i="14" s="1"/>
  <c r="T169" i="14" s="1"/>
  <c r="U169" i="14" s="1"/>
  <c r="V169" i="14" s="1"/>
  <c r="X169" i="14" s="1"/>
  <c r="Z169" i="14" s="1"/>
  <c r="AE168" i="14" a="1"/>
  <c r="AE168" i="14" s="1"/>
  <c r="Q168" i="14"/>
  <c r="R168" i="14" s="1"/>
  <c r="T168" i="14" s="1"/>
  <c r="U168" i="14" s="1"/>
  <c r="V168" i="14" s="1"/>
  <c r="X168" i="14" s="1"/>
  <c r="Z168" i="14" s="1"/>
  <c r="AE167" i="14" a="1"/>
  <c r="AE167" i="14" s="1"/>
  <c r="Q167" i="14"/>
  <c r="R167" i="14" s="1"/>
  <c r="T167" i="14" s="1"/>
  <c r="U167" i="14" s="1"/>
  <c r="V167" i="14" s="1"/>
  <c r="AD167" i="14" s="1"/>
  <c r="AE166" i="14" a="1"/>
  <c r="AE166" i="14" s="1"/>
  <c r="Q166" i="14"/>
  <c r="R166" i="14" s="1"/>
  <c r="T166" i="14" s="1"/>
  <c r="U166" i="14" s="1"/>
  <c r="V166" i="14" s="1"/>
  <c r="X166" i="14" s="1"/>
  <c r="Z166" i="14" s="1"/>
  <c r="AE165" i="14" a="1"/>
  <c r="AE165" i="14" s="1"/>
  <c r="Q165" i="14"/>
  <c r="R165" i="14" s="1"/>
  <c r="T165" i="14" s="1"/>
  <c r="U165" i="14" s="1"/>
  <c r="V165" i="14" s="1"/>
  <c r="X165" i="14" s="1"/>
  <c r="Z165" i="14" s="1"/>
  <c r="AE164" i="14" a="1"/>
  <c r="AE164" i="14" s="1"/>
  <c r="Q164" i="14"/>
  <c r="R164" i="14" s="1"/>
  <c r="T164" i="14" s="1"/>
  <c r="U164" i="14" s="1"/>
  <c r="V164" i="14" s="1"/>
  <c r="X164" i="14" s="1"/>
  <c r="Z164" i="14" s="1"/>
  <c r="AE163" i="14" a="1"/>
  <c r="AE163" i="14" s="1"/>
  <c r="Q163" i="14"/>
  <c r="R163" i="14" s="1"/>
  <c r="T163" i="14" s="1"/>
  <c r="U163" i="14" s="1"/>
  <c r="V163" i="14" s="1"/>
  <c r="X163" i="14" s="1"/>
  <c r="Z163" i="14" s="1"/>
  <c r="AE162" i="14" a="1"/>
  <c r="AE162" i="14" s="1"/>
  <c r="Q162" i="14"/>
  <c r="R162" i="14" s="1"/>
  <c r="T162" i="14" s="1"/>
  <c r="U162" i="14" s="1"/>
  <c r="V162" i="14" s="1"/>
  <c r="AD162" i="14" s="1"/>
  <c r="AE161" i="14" a="1"/>
  <c r="AE161" i="14" s="1"/>
  <c r="Q161" i="14"/>
  <c r="R161" i="14" s="1"/>
  <c r="T161" i="14" s="1"/>
  <c r="U161" i="14" s="1"/>
  <c r="V161" i="14" s="1"/>
  <c r="X161" i="14" s="1"/>
  <c r="Z161" i="14" s="1"/>
  <c r="AE160" i="14" a="1"/>
  <c r="AE160" i="14" s="1"/>
  <c r="Q160" i="14"/>
  <c r="R160" i="14" s="1"/>
  <c r="T160" i="14" s="1"/>
  <c r="U160" i="14" s="1"/>
  <c r="V160" i="14" s="1"/>
  <c r="X160" i="14" s="1"/>
  <c r="Z160" i="14" s="1"/>
  <c r="AE159" i="14" a="1"/>
  <c r="AE159" i="14" s="1"/>
  <c r="Q159" i="14"/>
  <c r="R159" i="14" s="1"/>
  <c r="T159" i="14" s="1"/>
  <c r="U159" i="14" s="1"/>
  <c r="V159" i="14" s="1"/>
  <c r="X159" i="14" s="1"/>
  <c r="Z159" i="14" s="1"/>
  <c r="AE158" i="14" a="1"/>
  <c r="AE158" i="14" s="1"/>
  <c r="Q158" i="14"/>
  <c r="R158" i="14" s="1"/>
  <c r="T158" i="14" s="1"/>
  <c r="U158" i="14" s="1"/>
  <c r="V158" i="14" s="1"/>
  <c r="X158" i="14" s="1"/>
  <c r="Z158" i="14" s="1"/>
  <c r="AE157" i="14" a="1"/>
  <c r="AE157" i="14" s="1"/>
  <c r="Q157" i="14"/>
  <c r="R157" i="14" s="1"/>
  <c r="T157" i="14" s="1"/>
  <c r="U157" i="14" s="1"/>
  <c r="V157" i="14" s="1"/>
  <c r="X157" i="14" s="1"/>
  <c r="Z157" i="14" s="1"/>
  <c r="AE156" i="14" a="1"/>
  <c r="AE156" i="14" s="1"/>
  <c r="Q156" i="14"/>
  <c r="R156" i="14" s="1"/>
  <c r="T156" i="14" s="1"/>
  <c r="U156" i="14" s="1"/>
  <c r="V156" i="14" s="1"/>
  <c r="X156" i="14" s="1"/>
  <c r="Z156" i="14" s="1"/>
  <c r="AE155" i="14" a="1"/>
  <c r="AE155" i="14" s="1"/>
  <c r="Q155" i="14"/>
  <c r="R155" i="14" s="1"/>
  <c r="T155" i="14" s="1"/>
  <c r="U155" i="14" s="1"/>
  <c r="V155" i="14" s="1"/>
  <c r="AD155" i="14" s="1"/>
  <c r="AE154" i="14" a="1"/>
  <c r="AE154" i="14" s="1"/>
  <c r="Q154" i="14"/>
  <c r="R154" i="14" s="1"/>
  <c r="T154" i="14" s="1"/>
  <c r="U154" i="14" s="1"/>
  <c r="V154" i="14" s="1"/>
  <c r="X154" i="14" s="1"/>
  <c r="Z154" i="14" s="1"/>
  <c r="AE153" i="14" a="1"/>
  <c r="AE153" i="14" s="1"/>
  <c r="Q153" i="14"/>
  <c r="R153" i="14" s="1"/>
  <c r="T153" i="14" s="1"/>
  <c r="U153" i="14" s="1"/>
  <c r="V153" i="14" s="1"/>
  <c r="X153" i="14" s="1"/>
  <c r="Z153" i="14" s="1"/>
  <c r="AE152" i="14" a="1"/>
  <c r="AE152" i="14" s="1"/>
  <c r="Q152" i="14"/>
  <c r="R152" i="14" s="1"/>
  <c r="T152" i="14" s="1"/>
  <c r="U152" i="14" s="1"/>
  <c r="V152" i="14" s="1"/>
  <c r="X152" i="14" s="1"/>
  <c r="Z152" i="14" s="1"/>
  <c r="AE151" i="14" a="1"/>
  <c r="AE151" i="14" s="1"/>
  <c r="Q151" i="14"/>
  <c r="R151" i="14" s="1"/>
  <c r="T151" i="14" s="1"/>
  <c r="U151" i="14" s="1"/>
  <c r="V151" i="14" s="1"/>
  <c r="X151" i="14" s="1"/>
  <c r="Z151" i="14" s="1"/>
  <c r="AE150" i="14" a="1"/>
  <c r="AE150" i="14" s="1"/>
  <c r="Q150" i="14"/>
  <c r="R150" i="14" s="1"/>
  <c r="T150" i="14" s="1"/>
  <c r="U150" i="14" s="1"/>
  <c r="V150" i="14" s="1"/>
  <c r="X150" i="14" s="1"/>
  <c r="Z150" i="14" s="1"/>
  <c r="AE149" i="14" a="1"/>
  <c r="AE149" i="14" s="1"/>
  <c r="Q149" i="14"/>
  <c r="R149" i="14" s="1"/>
  <c r="T149" i="14" s="1"/>
  <c r="U149" i="14" s="1"/>
  <c r="V149" i="14" s="1"/>
  <c r="X149" i="14" s="1"/>
  <c r="Z149" i="14" s="1"/>
  <c r="AE148" i="14" a="1"/>
  <c r="AE148" i="14" s="1"/>
  <c r="Q148" i="14"/>
  <c r="R148" i="14" s="1"/>
  <c r="T148" i="14" s="1"/>
  <c r="U148" i="14" s="1"/>
  <c r="V148" i="14" s="1"/>
  <c r="X148" i="14" s="1"/>
  <c r="Z148" i="14" s="1"/>
  <c r="AE147" i="14" a="1"/>
  <c r="AE147" i="14" s="1"/>
  <c r="Q147" i="14"/>
  <c r="R147" i="14" s="1"/>
  <c r="T147" i="14" s="1"/>
  <c r="U147" i="14" s="1"/>
  <c r="V147" i="14" s="1"/>
  <c r="X147" i="14" s="1"/>
  <c r="Z147" i="14" s="1"/>
  <c r="AE146" i="14" a="1"/>
  <c r="AE146" i="14" s="1"/>
  <c r="Q146" i="14"/>
  <c r="R146" i="14" s="1"/>
  <c r="T146" i="14" s="1"/>
  <c r="U146" i="14" s="1"/>
  <c r="V146" i="14" s="1"/>
  <c r="X146" i="14" s="1"/>
  <c r="Z146" i="14" s="1"/>
  <c r="AE145" i="14" a="1"/>
  <c r="AE145" i="14" s="1"/>
  <c r="Q145" i="14"/>
  <c r="R145" i="14" s="1"/>
  <c r="T145" i="14" s="1"/>
  <c r="U145" i="14" s="1"/>
  <c r="V145" i="14" s="1"/>
  <c r="X145" i="14" s="1"/>
  <c r="Z145" i="14" s="1"/>
  <c r="AE144" i="14" a="1"/>
  <c r="AE144" i="14" s="1"/>
  <c r="Q144" i="14"/>
  <c r="R144" i="14" s="1"/>
  <c r="T144" i="14" s="1"/>
  <c r="U144" i="14" s="1"/>
  <c r="V144" i="14" s="1"/>
  <c r="X144" i="14" s="1"/>
  <c r="Z144" i="14" s="1"/>
  <c r="AE143" i="14" a="1"/>
  <c r="AE143" i="14" s="1"/>
  <c r="Q143" i="14"/>
  <c r="R143" i="14" s="1"/>
  <c r="T143" i="14" s="1"/>
  <c r="U143" i="14" s="1"/>
  <c r="V143" i="14" s="1"/>
  <c r="X143" i="14" s="1"/>
  <c r="Z143" i="14" s="1"/>
  <c r="AE142" i="14" a="1"/>
  <c r="AE142" i="14" s="1"/>
  <c r="Q142" i="14"/>
  <c r="R142" i="14" s="1"/>
  <c r="T142" i="14" s="1"/>
  <c r="U142" i="14" s="1"/>
  <c r="V142" i="14" s="1"/>
  <c r="AE141" i="14" a="1"/>
  <c r="AE141" i="14" s="1"/>
  <c r="Q141" i="14"/>
  <c r="R141" i="14" s="1"/>
  <c r="T141" i="14" s="1"/>
  <c r="U141" i="14" s="1"/>
  <c r="V141" i="14" s="1"/>
  <c r="X141" i="14" s="1"/>
  <c r="Z141" i="14" s="1"/>
  <c r="AE140" i="14" a="1"/>
  <c r="AE140" i="14" s="1"/>
  <c r="Q140" i="14"/>
  <c r="R140" i="14" s="1"/>
  <c r="T140" i="14" s="1"/>
  <c r="U140" i="14" s="1"/>
  <c r="V140" i="14" s="1"/>
  <c r="X140" i="14" s="1"/>
  <c r="Z140" i="14" s="1"/>
  <c r="AE139" i="14" a="1"/>
  <c r="AE139" i="14" s="1"/>
  <c r="Q139" i="14"/>
  <c r="R139" i="14" s="1"/>
  <c r="T139" i="14" s="1"/>
  <c r="U139" i="14" s="1"/>
  <c r="V139" i="14" s="1"/>
  <c r="X139" i="14" s="1"/>
  <c r="Z139" i="14" s="1"/>
  <c r="AE138" i="14" a="1"/>
  <c r="AE138" i="14" s="1"/>
  <c r="Q138" i="14"/>
  <c r="R138" i="14" s="1"/>
  <c r="T138" i="14" s="1"/>
  <c r="U138" i="14" s="1"/>
  <c r="V138" i="14" s="1"/>
  <c r="AD138" i="14" s="1"/>
  <c r="AE137" i="14" a="1"/>
  <c r="AE137" i="14" s="1"/>
  <c r="Q137" i="14"/>
  <c r="R137" i="14" s="1"/>
  <c r="T137" i="14" s="1"/>
  <c r="U137" i="14" s="1"/>
  <c r="V137" i="14" s="1"/>
  <c r="X137" i="14" s="1"/>
  <c r="Z137" i="14" s="1"/>
  <c r="AE136" i="14" a="1"/>
  <c r="AE136" i="14" s="1"/>
  <c r="Q136" i="14"/>
  <c r="R136" i="14" s="1"/>
  <c r="T136" i="14" s="1"/>
  <c r="U136" i="14" s="1"/>
  <c r="V136" i="14" s="1"/>
  <c r="X136" i="14" s="1"/>
  <c r="Z136" i="14" s="1"/>
  <c r="AE135" i="14" a="1"/>
  <c r="AE135" i="14" s="1"/>
  <c r="Q135" i="14"/>
  <c r="R135" i="14" s="1"/>
  <c r="T135" i="14" s="1"/>
  <c r="U135" i="14" s="1"/>
  <c r="V135" i="14" s="1"/>
  <c r="X135" i="14" s="1"/>
  <c r="Z135" i="14" s="1"/>
  <c r="AE134" i="14" a="1"/>
  <c r="AE134" i="14" s="1"/>
  <c r="Q134" i="14"/>
  <c r="R134" i="14" s="1"/>
  <c r="T134" i="14" s="1"/>
  <c r="U134" i="14" s="1"/>
  <c r="V134" i="14" s="1"/>
  <c r="X134" i="14" s="1"/>
  <c r="Z134" i="14" s="1"/>
  <c r="AE133" i="14" a="1"/>
  <c r="AE133" i="14" s="1"/>
  <c r="Q133" i="14"/>
  <c r="R133" i="14" s="1"/>
  <c r="T133" i="14" s="1"/>
  <c r="U133" i="14" s="1"/>
  <c r="V133" i="14" s="1"/>
  <c r="X133" i="14" s="1"/>
  <c r="Z133" i="14" s="1"/>
  <c r="AE132" i="14" a="1"/>
  <c r="AE132" i="14" s="1"/>
  <c r="Q132" i="14"/>
  <c r="R132" i="14" s="1"/>
  <c r="T132" i="14" s="1"/>
  <c r="U132" i="14" s="1"/>
  <c r="V132" i="14" s="1"/>
  <c r="X132" i="14" s="1"/>
  <c r="Z132" i="14" s="1"/>
  <c r="AE131" i="14" a="1"/>
  <c r="AE131" i="14" s="1"/>
  <c r="Q131" i="14"/>
  <c r="R131" i="14" s="1"/>
  <c r="T131" i="14" s="1"/>
  <c r="U131" i="14" s="1"/>
  <c r="V131" i="14" s="1"/>
  <c r="X131" i="14" s="1"/>
  <c r="Z131" i="14" s="1"/>
  <c r="AE130" i="14" a="1"/>
  <c r="AE130" i="14" s="1"/>
  <c r="Q130" i="14"/>
  <c r="R130" i="14" s="1"/>
  <c r="T130" i="14" s="1"/>
  <c r="U130" i="14" s="1"/>
  <c r="V130" i="14" s="1"/>
  <c r="X130" i="14" s="1"/>
  <c r="Z130" i="14" s="1"/>
  <c r="AE129" i="14" a="1"/>
  <c r="AE129" i="14" s="1"/>
  <c r="Q129" i="14"/>
  <c r="R129" i="14" s="1"/>
  <c r="T129" i="14" s="1"/>
  <c r="U129" i="14" s="1"/>
  <c r="V129" i="14" s="1"/>
  <c r="X129" i="14" s="1"/>
  <c r="Z129" i="14" s="1"/>
  <c r="AE128" i="14" a="1"/>
  <c r="AE128" i="14" s="1"/>
  <c r="Q128" i="14"/>
  <c r="R128" i="14" s="1"/>
  <c r="T128" i="14" s="1"/>
  <c r="U128" i="14" s="1"/>
  <c r="V128" i="14" s="1"/>
  <c r="X128" i="14" s="1"/>
  <c r="Z128" i="14" s="1"/>
  <c r="AE127" i="14" a="1"/>
  <c r="AE127" i="14" s="1"/>
  <c r="Q127" i="14"/>
  <c r="R127" i="14" s="1"/>
  <c r="T127" i="14" s="1"/>
  <c r="U127" i="14" s="1"/>
  <c r="V127" i="14" s="1"/>
  <c r="X127" i="14" s="1"/>
  <c r="Z127" i="14" s="1"/>
  <c r="AE126" i="14" a="1"/>
  <c r="AE126" i="14" s="1"/>
  <c r="Q126" i="14"/>
  <c r="R126" i="14" s="1"/>
  <c r="T126" i="14" s="1"/>
  <c r="U126" i="14" s="1"/>
  <c r="V126" i="14" s="1"/>
  <c r="X126" i="14" s="1"/>
  <c r="Z126" i="14" s="1"/>
  <c r="AE125" i="14" a="1"/>
  <c r="AE125" i="14" s="1"/>
  <c r="Q125" i="14"/>
  <c r="R125" i="14" s="1"/>
  <c r="T125" i="14" s="1"/>
  <c r="U125" i="14" s="1"/>
  <c r="V125" i="14" s="1"/>
  <c r="X125" i="14" s="1"/>
  <c r="Z125" i="14" s="1"/>
  <c r="AE124" i="14" a="1"/>
  <c r="AE124" i="14" s="1"/>
  <c r="Q124" i="14"/>
  <c r="R124" i="14" s="1"/>
  <c r="T124" i="14" s="1"/>
  <c r="U124" i="14" s="1"/>
  <c r="V124" i="14" s="1"/>
  <c r="X124" i="14" s="1"/>
  <c r="Z124" i="14" s="1"/>
  <c r="AE123" i="14" a="1"/>
  <c r="AE123" i="14" s="1"/>
  <c r="Q123" i="14"/>
  <c r="R123" i="14" s="1"/>
  <c r="T123" i="14" s="1"/>
  <c r="U123" i="14" s="1"/>
  <c r="V123" i="14" s="1"/>
  <c r="X123" i="14" s="1"/>
  <c r="Z123" i="14" s="1"/>
  <c r="AE122" i="14" a="1"/>
  <c r="AE122" i="14" s="1"/>
  <c r="Q122" i="14"/>
  <c r="R122" i="14" s="1"/>
  <c r="T122" i="14" s="1"/>
  <c r="U122" i="14" s="1"/>
  <c r="V122" i="14" s="1"/>
  <c r="X122" i="14" s="1"/>
  <c r="Z122" i="14" s="1"/>
  <c r="AE121" i="14" a="1"/>
  <c r="AE121" i="14" s="1"/>
  <c r="Q121" i="14"/>
  <c r="R121" i="14" s="1"/>
  <c r="T121" i="14" s="1"/>
  <c r="U121" i="14" s="1"/>
  <c r="V121" i="14" s="1"/>
  <c r="X121" i="14" s="1"/>
  <c r="Z121" i="14" s="1"/>
  <c r="AE120" i="14" a="1"/>
  <c r="AE120" i="14" s="1"/>
  <c r="Q120" i="14"/>
  <c r="R120" i="14" s="1"/>
  <c r="T120" i="14" s="1"/>
  <c r="U120" i="14" s="1"/>
  <c r="V120" i="14" s="1"/>
  <c r="AE119" i="14" a="1"/>
  <c r="AE119" i="14" s="1"/>
  <c r="Q119" i="14"/>
  <c r="R119" i="14" s="1"/>
  <c r="T119" i="14" s="1"/>
  <c r="U119" i="14" s="1"/>
  <c r="V119" i="14" s="1"/>
  <c r="X119" i="14" s="1"/>
  <c r="Z119" i="14" s="1"/>
  <c r="AE118" i="14" a="1"/>
  <c r="AE118" i="14" s="1"/>
  <c r="Q118" i="14"/>
  <c r="R118" i="14" s="1"/>
  <c r="T118" i="14" s="1"/>
  <c r="U118" i="14" s="1"/>
  <c r="V118" i="14" s="1"/>
  <c r="X118" i="14" s="1"/>
  <c r="Z118" i="14" s="1"/>
  <c r="AE117" i="14" a="1"/>
  <c r="AE117" i="14" s="1"/>
  <c r="Q117" i="14"/>
  <c r="R117" i="14" s="1"/>
  <c r="T117" i="14" s="1"/>
  <c r="U117" i="14" s="1"/>
  <c r="V117" i="14" s="1"/>
  <c r="X117" i="14" s="1"/>
  <c r="Z117" i="14" s="1"/>
  <c r="AE116" i="14" a="1"/>
  <c r="AE116" i="14" s="1"/>
  <c r="Q116" i="14"/>
  <c r="R116" i="14" s="1"/>
  <c r="T116" i="14" s="1"/>
  <c r="U116" i="14" s="1"/>
  <c r="V116" i="14" s="1"/>
  <c r="X116" i="14" s="1"/>
  <c r="Z116" i="14" s="1"/>
  <c r="AE115" i="14" a="1"/>
  <c r="AE115" i="14" s="1"/>
  <c r="Q115" i="14"/>
  <c r="R115" i="14" s="1"/>
  <c r="T115" i="14" s="1"/>
  <c r="U115" i="14" s="1"/>
  <c r="V115" i="14" s="1"/>
  <c r="X115" i="14" s="1"/>
  <c r="Z115" i="14" s="1"/>
  <c r="AE114" i="14" a="1"/>
  <c r="AE114" i="14" s="1"/>
  <c r="Q114" i="14"/>
  <c r="R114" i="14" s="1"/>
  <c r="T114" i="14" s="1"/>
  <c r="U114" i="14" s="1"/>
  <c r="V114" i="14" s="1"/>
  <c r="X114" i="14" s="1"/>
  <c r="Z114" i="14" s="1"/>
  <c r="AE113" i="14" a="1"/>
  <c r="AE113" i="14" s="1"/>
  <c r="Q113" i="14"/>
  <c r="R113" i="14" s="1"/>
  <c r="T113" i="14" s="1"/>
  <c r="U113" i="14" s="1"/>
  <c r="V113" i="14" s="1"/>
  <c r="X113" i="14" s="1"/>
  <c r="Z113" i="14" s="1"/>
  <c r="AE112" i="14" a="1"/>
  <c r="AE112" i="14" s="1"/>
  <c r="Q112" i="14"/>
  <c r="R112" i="14" s="1"/>
  <c r="T112" i="14" s="1"/>
  <c r="U112" i="14" s="1"/>
  <c r="V112" i="14" s="1"/>
  <c r="X112" i="14" s="1"/>
  <c r="Z112" i="14" s="1"/>
  <c r="AE111" i="14" a="1"/>
  <c r="AE111" i="14" s="1"/>
  <c r="Q111" i="14"/>
  <c r="R111" i="14" s="1"/>
  <c r="T111" i="14" s="1"/>
  <c r="U111" i="14" s="1"/>
  <c r="V111" i="14" s="1"/>
  <c r="X111" i="14" s="1"/>
  <c r="Z111" i="14" s="1"/>
  <c r="AE110" i="14" a="1"/>
  <c r="AE110" i="14" s="1"/>
  <c r="Q110" i="14"/>
  <c r="R110" i="14" s="1"/>
  <c r="T110" i="14" s="1"/>
  <c r="U110" i="14" s="1"/>
  <c r="V110" i="14" s="1"/>
  <c r="AD110" i="14" s="1"/>
  <c r="AE109" i="14" a="1"/>
  <c r="AE109" i="14" s="1"/>
  <c r="Q109" i="14"/>
  <c r="R109" i="14" s="1"/>
  <c r="T109" i="14" s="1"/>
  <c r="U109" i="14" s="1"/>
  <c r="V109" i="14" s="1"/>
  <c r="X109" i="14" s="1"/>
  <c r="Z109" i="14" s="1"/>
  <c r="AE108" i="14" a="1"/>
  <c r="AE108" i="14" s="1"/>
  <c r="Q108" i="14"/>
  <c r="R108" i="14" s="1"/>
  <c r="T108" i="14" s="1"/>
  <c r="U108" i="14" s="1"/>
  <c r="V108" i="14" s="1"/>
  <c r="X108" i="14" s="1"/>
  <c r="Z108" i="14" s="1"/>
  <c r="AE107" i="14" a="1"/>
  <c r="AE107" i="14" s="1"/>
  <c r="Q107" i="14"/>
  <c r="R107" i="14" s="1"/>
  <c r="T107" i="14" s="1"/>
  <c r="U107" i="14" s="1"/>
  <c r="V107" i="14" s="1"/>
  <c r="X107" i="14" s="1"/>
  <c r="Z107" i="14" s="1"/>
  <c r="AE106" i="14" a="1"/>
  <c r="AE106" i="14" s="1"/>
  <c r="Q106" i="14"/>
  <c r="R106" i="14" s="1"/>
  <c r="T106" i="14" s="1"/>
  <c r="U106" i="14" s="1"/>
  <c r="V106" i="14" s="1"/>
  <c r="X106" i="14" s="1"/>
  <c r="Z106" i="14" s="1"/>
  <c r="AE105" i="14" a="1"/>
  <c r="AE105" i="14" s="1"/>
  <c r="Q105" i="14"/>
  <c r="R105" i="14" s="1"/>
  <c r="T105" i="14" s="1"/>
  <c r="U105" i="14" s="1"/>
  <c r="V105" i="14" s="1"/>
  <c r="X105" i="14" s="1"/>
  <c r="Z105" i="14" s="1"/>
  <c r="AE104" i="14" a="1"/>
  <c r="AE104" i="14" s="1"/>
  <c r="Q104" i="14"/>
  <c r="R104" i="14" s="1"/>
  <c r="T104" i="14" s="1"/>
  <c r="U104" i="14" s="1"/>
  <c r="V104" i="14" s="1"/>
  <c r="X104" i="14" s="1"/>
  <c r="Z104" i="14" s="1"/>
  <c r="AE103" i="14" a="1"/>
  <c r="AE103" i="14" s="1"/>
  <c r="Q103" i="14"/>
  <c r="R103" i="14" s="1"/>
  <c r="T103" i="14" s="1"/>
  <c r="U103" i="14" s="1"/>
  <c r="V103" i="14" s="1"/>
  <c r="AD103" i="14" s="1"/>
  <c r="AE102" i="14" a="1"/>
  <c r="AE102" i="14" s="1"/>
  <c r="Q102" i="14"/>
  <c r="R102" i="14" s="1"/>
  <c r="T102" i="14" s="1"/>
  <c r="U102" i="14" s="1"/>
  <c r="V102" i="14" s="1"/>
  <c r="X102" i="14" s="1"/>
  <c r="Z102" i="14" s="1"/>
  <c r="AE101" i="14" a="1"/>
  <c r="AE101" i="14" s="1"/>
  <c r="Q101" i="14"/>
  <c r="R101" i="14" s="1"/>
  <c r="T101" i="14" s="1"/>
  <c r="U101" i="14" s="1"/>
  <c r="V101" i="14" s="1"/>
  <c r="AD101" i="14" s="1"/>
  <c r="AE100" i="14" a="1"/>
  <c r="AE100" i="14" s="1"/>
  <c r="Q100" i="14"/>
  <c r="R100" i="14" s="1"/>
  <c r="T100" i="14" s="1"/>
  <c r="U100" i="14" s="1"/>
  <c r="V100" i="14" s="1"/>
  <c r="X100" i="14" s="1"/>
  <c r="Z100" i="14" s="1"/>
  <c r="AE99" i="14" a="1"/>
  <c r="AE99" i="14" s="1"/>
  <c r="Q99" i="14"/>
  <c r="R99" i="14" s="1"/>
  <c r="T99" i="14" s="1"/>
  <c r="U99" i="14" s="1"/>
  <c r="V99" i="14" s="1"/>
  <c r="X99" i="14" s="1"/>
  <c r="Z99" i="14" s="1"/>
  <c r="AE98" i="14" a="1"/>
  <c r="AE98" i="14" s="1"/>
  <c r="Q98" i="14"/>
  <c r="R98" i="14" s="1"/>
  <c r="T98" i="14" s="1"/>
  <c r="U98" i="14" s="1"/>
  <c r="V98" i="14" s="1"/>
  <c r="X98" i="14" s="1"/>
  <c r="Z98" i="14" s="1"/>
  <c r="AE97" i="14" a="1"/>
  <c r="AE97" i="14" s="1"/>
  <c r="Q97" i="14"/>
  <c r="R97" i="14" s="1"/>
  <c r="T97" i="14" s="1"/>
  <c r="U97" i="14" s="1"/>
  <c r="V97" i="14" s="1"/>
  <c r="X97" i="14" s="1"/>
  <c r="Z97" i="14" s="1"/>
  <c r="AE96" i="14" a="1"/>
  <c r="AE96" i="14" s="1"/>
  <c r="Q96" i="14"/>
  <c r="R96" i="14" s="1"/>
  <c r="T96" i="14" s="1"/>
  <c r="U96" i="14" s="1"/>
  <c r="V96" i="14" s="1"/>
  <c r="AD96" i="14" s="1"/>
  <c r="AE95" i="14" a="1"/>
  <c r="AE95" i="14" s="1"/>
  <c r="Q95" i="14"/>
  <c r="R95" i="14" s="1"/>
  <c r="T95" i="14" s="1"/>
  <c r="U95" i="14" s="1"/>
  <c r="V95" i="14" s="1"/>
  <c r="X95" i="14" s="1"/>
  <c r="Z95" i="14" s="1"/>
  <c r="AE94" i="14" a="1"/>
  <c r="AE94" i="14" s="1"/>
  <c r="Q94" i="14"/>
  <c r="R94" i="14" s="1"/>
  <c r="T94" i="14" s="1"/>
  <c r="U94" i="14" s="1"/>
  <c r="V94" i="14" s="1"/>
  <c r="AE93" i="14" a="1"/>
  <c r="AE93" i="14" s="1"/>
  <c r="Q93" i="14"/>
  <c r="R93" i="14" s="1"/>
  <c r="T93" i="14" s="1"/>
  <c r="U93" i="14" s="1"/>
  <c r="V93" i="14" s="1"/>
  <c r="X93" i="14" s="1"/>
  <c r="Z93" i="14" s="1"/>
  <c r="AE92" i="14" a="1"/>
  <c r="AE92" i="14" s="1"/>
  <c r="Q92" i="14"/>
  <c r="R92" i="14" s="1"/>
  <c r="T92" i="14" s="1"/>
  <c r="U92" i="14" s="1"/>
  <c r="V92" i="14" s="1"/>
  <c r="X92" i="14" s="1"/>
  <c r="Z92" i="14" s="1"/>
  <c r="AE91" i="14" a="1"/>
  <c r="AE91" i="14" s="1"/>
  <c r="Q91" i="14"/>
  <c r="R91" i="14" s="1"/>
  <c r="T91" i="14" s="1"/>
  <c r="U91" i="14" s="1"/>
  <c r="V91" i="14" s="1"/>
  <c r="X91" i="14" s="1"/>
  <c r="Z91" i="14" s="1"/>
  <c r="AE90" i="14" a="1"/>
  <c r="AE90" i="14" s="1"/>
  <c r="Q90" i="14"/>
  <c r="R90" i="14" s="1"/>
  <c r="T90" i="14" s="1"/>
  <c r="U90" i="14" s="1"/>
  <c r="V90" i="14" s="1"/>
  <c r="X90" i="14" s="1"/>
  <c r="Z90" i="14" s="1"/>
  <c r="AE89" i="14" a="1"/>
  <c r="AE89" i="14" s="1"/>
  <c r="Q89" i="14"/>
  <c r="R89" i="14" s="1"/>
  <c r="T89" i="14" s="1"/>
  <c r="U89" i="14" s="1"/>
  <c r="V89" i="14" s="1"/>
  <c r="X89" i="14" s="1"/>
  <c r="Z89" i="14" s="1"/>
  <c r="AE88" i="14" a="1"/>
  <c r="AE88" i="14" s="1"/>
  <c r="Q88" i="14"/>
  <c r="R88" i="14" s="1"/>
  <c r="T88" i="14" s="1"/>
  <c r="U88" i="14" s="1"/>
  <c r="V88" i="14" s="1"/>
  <c r="X88" i="14" s="1"/>
  <c r="Z88" i="14" s="1"/>
  <c r="AE87" i="14" a="1"/>
  <c r="AE87" i="14" s="1"/>
  <c r="Q87" i="14"/>
  <c r="R87" i="14" s="1"/>
  <c r="T87" i="14" s="1"/>
  <c r="U87" i="14" s="1"/>
  <c r="V87" i="14" s="1"/>
  <c r="X87" i="14" s="1"/>
  <c r="Z87" i="14" s="1"/>
  <c r="AE86" i="14" a="1"/>
  <c r="AE86" i="14" s="1"/>
  <c r="Q86" i="14"/>
  <c r="R86" i="14" s="1"/>
  <c r="T86" i="14" s="1"/>
  <c r="U86" i="14" s="1"/>
  <c r="V86" i="14" s="1"/>
  <c r="X86" i="14" s="1"/>
  <c r="Z86" i="14" s="1"/>
  <c r="AE85" i="14" a="1"/>
  <c r="AE85" i="14" s="1"/>
  <c r="Q85" i="14"/>
  <c r="R85" i="14" s="1"/>
  <c r="T85" i="14" s="1"/>
  <c r="U85" i="14" s="1"/>
  <c r="V85" i="14" s="1"/>
  <c r="X85" i="14" s="1"/>
  <c r="Z85" i="14" s="1"/>
  <c r="AE84" i="14" a="1"/>
  <c r="AE84" i="14" s="1"/>
  <c r="Q84" i="14"/>
  <c r="R84" i="14" s="1"/>
  <c r="T84" i="14" s="1"/>
  <c r="U84" i="14" s="1"/>
  <c r="V84" i="14" s="1"/>
  <c r="X84" i="14" s="1"/>
  <c r="Z84" i="14" s="1"/>
  <c r="AE83" i="14" a="1"/>
  <c r="AE83" i="14" s="1"/>
  <c r="Q83" i="14"/>
  <c r="R83" i="14" s="1"/>
  <c r="T83" i="14" s="1"/>
  <c r="U83" i="14" s="1"/>
  <c r="V83" i="14" s="1"/>
  <c r="X83" i="14" s="1"/>
  <c r="Z83" i="14" s="1"/>
  <c r="AE82" i="14" a="1"/>
  <c r="AE82" i="14" s="1"/>
  <c r="Q82" i="14"/>
  <c r="R82" i="14" s="1"/>
  <c r="T82" i="14" s="1"/>
  <c r="U82" i="14" s="1"/>
  <c r="V82" i="14" s="1"/>
  <c r="X82" i="14" s="1"/>
  <c r="Z82" i="14" s="1"/>
  <c r="AE81" i="14" a="1"/>
  <c r="AE81" i="14" s="1"/>
  <c r="Q81" i="14"/>
  <c r="R81" i="14" s="1"/>
  <c r="T81" i="14" s="1"/>
  <c r="U81" i="14" s="1"/>
  <c r="V81" i="14" s="1"/>
  <c r="AE80" i="14" a="1"/>
  <c r="AE80" i="14" s="1"/>
  <c r="Q80" i="14"/>
  <c r="R80" i="14" s="1"/>
  <c r="T80" i="14" s="1"/>
  <c r="U80" i="14" s="1"/>
  <c r="V80" i="14" s="1"/>
  <c r="AD80" i="14" s="1"/>
  <c r="AE79" i="14" a="1"/>
  <c r="AE79" i="14" s="1"/>
  <c r="Q79" i="14"/>
  <c r="R79" i="14" s="1"/>
  <c r="T79" i="14" s="1"/>
  <c r="U79" i="14" s="1"/>
  <c r="V79" i="14" s="1"/>
  <c r="X79" i="14" s="1"/>
  <c r="Z79" i="14" s="1"/>
  <c r="AE78" i="14" a="1"/>
  <c r="AE78" i="14" s="1"/>
  <c r="Q78" i="14"/>
  <c r="R78" i="14" s="1"/>
  <c r="T78" i="14" s="1"/>
  <c r="U78" i="14" s="1"/>
  <c r="V78" i="14" s="1"/>
  <c r="X78" i="14" s="1"/>
  <c r="Z78" i="14" s="1"/>
  <c r="AE77" i="14" a="1"/>
  <c r="AE77" i="14" s="1"/>
  <c r="Q77" i="14"/>
  <c r="R77" i="14" s="1"/>
  <c r="T77" i="14" s="1"/>
  <c r="U77" i="14" s="1"/>
  <c r="V77" i="14" s="1"/>
  <c r="X77" i="14" s="1"/>
  <c r="Z77" i="14" s="1"/>
  <c r="AE76" i="14" a="1"/>
  <c r="AE76" i="14" s="1"/>
  <c r="Q76" i="14"/>
  <c r="R76" i="14" s="1"/>
  <c r="T76" i="14" s="1"/>
  <c r="U76" i="14" s="1"/>
  <c r="V76" i="14" s="1"/>
  <c r="X76" i="14" s="1"/>
  <c r="Z76" i="14" s="1"/>
  <c r="AE75" i="14" a="1"/>
  <c r="AE75" i="14" s="1"/>
  <c r="Q75" i="14"/>
  <c r="R75" i="14" s="1"/>
  <c r="T75" i="14" s="1"/>
  <c r="U75" i="14" s="1"/>
  <c r="V75" i="14" s="1"/>
  <c r="X75" i="14" s="1"/>
  <c r="Z75" i="14" s="1"/>
  <c r="AE74" i="14" a="1"/>
  <c r="AE74" i="14" s="1"/>
  <c r="Q74" i="14"/>
  <c r="R74" i="14" s="1"/>
  <c r="T74" i="14" s="1"/>
  <c r="U74" i="14" s="1"/>
  <c r="V74" i="14" s="1"/>
  <c r="X74" i="14" s="1"/>
  <c r="Z74" i="14" s="1"/>
  <c r="AE73" i="14" a="1"/>
  <c r="AE73" i="14" s="1"/>
  <c r="Q73" i="14"/>
  <c r="R73" i="14" s="1"/>
  <c r="T73" i="14" s="1"/>
  <c r="U73" i="14" s="1"/>
  <c r="V73" i="14" s="1"/>
  <c r="AE72" i="14" a="1"/>
  <c r="AE72" i="14" s="1"/>
  <c r="Q72" i="14"/>
  <c r="R72" i="14" s="1"/>
  <c r="T72" i="14" s="1"/>
  <c r="U72" i="14" s="1"/>
  <c r="V72" i="14" s="1"/>
  <c r="X72" i="14" s="1"/>
  <c r="Z72" i="14" s="1"/>
  <c r="AE71" i="14" a="1"/>
  <c r="AE71" i="14" s="1"/>
  <c r="Q71" i="14"/>
  <c r="R71" i="14" s="1"/>
  <c r="T71" i="14" s="1"/>
  <c r="U71" i="14" s="1"/>
  <c r="V71" i="14" s="1"/>
  <c r="X71" i="14" s="1"/>
  <c r="Z71" i="14" s="1"/>
  <c r="AE70" i="14" a="1"/>
  <c r="AE70" i="14" s="1"/>
  <c r="Q70" i="14"/>
  <c r="R70" i="14" s="1"/>
  <c r="T70" i="14" s="1"/>
  <c r="U70" i="14" s="1"/>
  <c r="V70" i="14" s="1"/>
  <c r="AD70" i="14" s="1"/>
  <c r="AE69" i="14" a="1"/>
  <c r="AE69" i="14" s="1"/>
  <c r="Q69" i="14"/>
  <c r="R69" i="14" s="1"/>
  <c r="T69" i="14" s="1"/>
  <c r="U69" i="14" s="1"/>
  <c r="V69" i="14" s="1"/>
  <c r="X69" i="14" s="1"/>
  <c r="Z69" i="14" s="1"/>
  <c r="AE68" i="14" a="1"/>
  <c r="AE68" i="14" s="1"/>
  <c r="Q68" i="14"/>
  <c r="R68" i="14" s="1"/>
  <c r="T68" i="14" s="1"/>
  <c r="U68" i="14" s="1"/>
  <c r="V68" i="14" s="1"/>
  <c r="X68" i="14" s="1"/>
  <c r="Z68" i="14" s="1"/>
  <c r="AE67" i="14" a="1"/>
  <c r="AE67" i="14" s="1"/>
  <c r="Q67" i="14"/>
  <c r="R67" i="14" s="1"/>
  <c r="T67" i="14" s="1"/>
  <c r="U67" i="14" s="1"/>
  <c r="V67" i="14" s="1"/>
  <c r="X67" i="14" s="1"/>
  <c r="Z67" i="14" s="1"/>
  <c r="AE66" i="14" a="1"/>
  <c r="AE66" i="14" s="1"/>
  <c r="Q66" i="14"/>
  <c r="R66" i="14" s="1"/>
  <c r="T66" i="14" s="1"/>
  <c r="U66" i="14" s="1"/>
  <c r="V66" i="14" s="1"/>
  <c r="X66" i="14" s="1"/>
  <c r="Z66" i="14" s="1"/>
  <c r="AE65" i="14" a="1"/>
  <c r="AE65" i="14" s="1"/>
  <c r="Q65" i="14"/>
  <c r="R65" i="14" s="1"/>
  <c r="T65" i="14" s="1"/>
  <c r="U65" i="14" s="1"/>
  <c r="V65" i="14" s="1"/>
  <c r="X65" i="14" s="1"/>
  <c r="Z65" i="14" s="1"/>
  <c r="AE64" i="14" a="1"/>
  <c r="AE64" i="14" s="1"/>
  <c r="Q64" i="14"/>
  <c r="R64" i="14" s="1"/>
  <c r="T64" i="14" s="1"/>
  <c r="U64" i="14" s="1"/>
  <c r="V64" i="14" s="1"/>
  <c r="X64" i="14" s="1"/>
  <c r="Z64" i="14" s="1"/>
  <c r="AE63" i="14" a="1"/>
  <c r="AE63" i="14" s="1"/>
  <c r="Q63" i="14"/>
  <c r="R63" i="14" s="1"/>
  <c r="T63" i="14" s="1"/>
  <c r="U63" i="14" s="1"/>
  <c r="V63" i="14" s="1"/>
  <c r="X63" i="14" s="1"/>
  <c r="Z63" i="14" s="1"/>
  <c r="AE62" i="14" a="1"/>
  <c r="AE62" i="14" s="1"/>
  <c r="Q62" i="14"/>
  <c r="R62" i="14" s="1"/>
  <c r="T62" i="14" s="1"/>
  <c r="U62" i="14" s="1"/>
  <c r="V62" i="14" s="1"/>
  <c r="X62" i="14" s="1"/>
  <c r="Z62" i="14" s="1"/>
  <c r="AE61" i="14" a="1"/>
  <c r="AE61" i="14" s="1"/>
  <c r="Q61" i="14"/>
  <c r="R61" i="14" s="1"/>
  <c r="T61" i="14" s="1"/>
  <c r="U61" i="14" s="1"/>
  <c r="V61" i="14" s="1"/>
  <c r="X61" i="14" s="1"/>
  <c r="Z61" i="14" s="1"/>
  <c r="AE60" i="14" a="1"/>
  <c r="AE60" i="14" s="1"/>
  <c r="Q60" i="14"/>
  <c r="R60" i="14" s="1"/>
  <c r="T60" i="14" s="1"/>
  <c r="U60" i="14" s="1"/>
  <c r="V60" i="14" s="1"/>
  <c r="X60" i="14" s="1"/>
  <c r="Z60" i="14" s="1"/>
  <c r="AE59" i="14" a="1"/>
  <c r="AE59" i="14" s="1"/>
  <c r="Q59" i="14"/>
  <c r="R59" i="14" s="1"/>
  <c r="T59" i="14" s="1"/>
  <c r="U59" i="14" s="1"/>
  <c r="V59" i="14" s="1"/>
  <c r="X59" i="14" s="1"/>
  <c r="Z59" i="14" s="1"/>
  <c r="AE58" i="14" a="1"/>
  <c r="AE58" i="14" s="1"/>
  <c r="Q58" i="14"/>
  <c r="R58" i="14" s="1"/>
  <c r="T58" i="14" s="1"/>
  <c r="U58" i="14" s="1"/>
  <c r="V58" i="14" s="1"/>
  <c r="X58" i="14" s="1"/>
  <c r="Z58" i="14" s="1"/>
  <c r="AE57" i="14" a="1"/>
  <c r="AE57" i="14" s="1"/>
  <c r="Q57" i="14"/>
  <c r="R57" i="14" s="1"/>
  <c r="T57" i="14" s="1"/>
  <c r="U57" i="14" s="1"/>
  <c r="V57" i="14" s="1"/>
  <c r="X57" i="14" s="1"/>
  <c r="Z57" i="14" s="1"/>
  <c r="AE56" i="14" a="1"/>
  <c r="AE56" i="14" s="1"/>
  <c r="Q56" i="14"/>
  <c r="R56" i="14" s="1"/>
  <c r="T56" i="14" s="1"/>
  <c r="U56" i="14" s="1"/>
  <c r="V56" i="14" s="1"/>
  <c r="AE55" i="14" a="1"/>
  <c r="AE55" i="14" s="1"/>
  <c r="Q55" i="14"/>
  <c r="R55" i="14" s="1"/>
  <c r="T55" i="14" s="1"/>
  <c r="U55" i="14" s="1"/>
  <c r="V55" i="14" s="1"/>
  <c r="X55" i="14" s="1"/>
  <c r="Z55" i="14" s="1"/>
  <c r="AE54" i="14" a="1"/>
  <c r="AE54" i="14" s="1"/>
  <c r="Q54" i="14"/>
  <c r="R54" i="14" s="1"/>
  <c r="T54" i="14" s="1"/>
  <c r="U54" i="14" s="1"/>
  <c r="V54" i="14" s="1"/>
  <c r="X54" i="14" s="1"/>
  <c r="Z54" i="14" s="1"/>
  <c r="AE53" i="14" a="1"/>
  <c r="AE53" i="14" s="1"/>
  <c r="Q53" i="14"/>
  <c r="R53" i="14" s="1"/>
  <c r="T53" i="14" s="1"/>
  <c r="U53" i="14" s="1"/>
  <c r="V53" i="14" s="1"/>
  <c r="X53" i="14" s="1"/>
  <c r="Z53" i="14" s="1"/>
  <c r="AE52" i="14" a="1"/>
  <c r="AE52" i="14" s="1"/>
  <c r="Q52" i="14"/>
  <c r="R52" i="14" s="1"/>
  <c r="T52" i="14" s="1"/>
  <c r="U52" i="14" s="1"/>
  <c r="V52" i="14" s="1"/>
  <c r="X52" i="14" s="1"/>
  <c r="Z52" i="14" s="1"/>
  <c r="AE51" i="14" a="1"/>
  <c r="AE51" i="14" s="1"/>
  <c r="Q51" i="14"/>
  <c r="R51" i="14" s="1"/>
  <c r="T51" i="14" s="1"/>
  <c r="U51" i="14" s="1"/>
  <c r="V51" i="14" s="1"/>
  <c r="X51" i="14" s="1"/>
  <c r="Z51" i="14" s="1"/>
  <c r="AE50" i="14" a="1"/>
  <c r="AE50" i="14" s="1"/>
  <c r="Q50" i="14"/>
  <c r="R50" i="14" s="1"/>
  <c r="T50" i="14" s="1"/>
  <c r="U50" i="14" s="1"/>
  <c r="V50" i="14" s="1"/>
  <c r="X50" i="14" s="1"/>
  <c r="Z50" i="14" s="1"/>
  <c r="AE49" i="14" a="1"/>
  <c r="AE49" i="14" s="1"/>
  <c r="Q49" i="14"/>
  <c r="R49" i="14" s="1"/>
  <c r="T49" i="14" s="1"/>
  <c r="U49" i="14" s="1"/>
  <c r="V49" i="14" s="1"/>
  <c r="X49" i="14" s="1"/>
  <c r="Z49" i="14" s="1"/>
  <c r="AE48" i="14" a="1"/>
  <c r="AE48" i="14" s="1"/>
  <c r="Q48" i="14"/>
  <c r="R48" i="14" s="1"/>
  <c r="T48" i="14" s="1"/>
  <c r="U48" i="14" s="1"/>
  <c r="V48" i="14" s="1"/>
  <c r="X48" i="14" s="1"/>
  <c r="Z48" i="14" s="1"/>
  <c r="AE47" i="14" a="1"/>
  <c r="AE47" i="14" s="1"/>
  <c r="Q47" i="14"/>
  <c r="R47" i="14" s="1"/>
  <c r="T47" i="14" s="1"/>
  <c r="U47" i="14" s="1"/>
  <c r="V47" i="14" s="1"/>
  <c r="X47" i="14" s="1"/>
  <c r="Z47" i="14" s="1"/>
  <c r="AE46" i="14" a="1"/>
  <c r="AE46" i="14" s="1"/>
  <c r="Q46" i="14"/>
  <c r="R46" i="14" s="1"/>
  <c r="T46" i="14" s="1"/>
  <c r="U46" i="14" s="1"/>
  <c r="V46" i="14" s="1"/>
  <c r="X46" i="14" s="1"/>
  <c r="Z46" i="14" s="1"/>
  <c r="AE45" i="14" a="1"/>
  <c r="AE45" i="14" s="1"/>
  <c r="Q45" i="14"/>
  <c r="R45" i="14" s="1"/>
  <c r="T45" i="14" s="1"/>
  <c r="U45" i="14" s="1"/>
  <c r="V45" i="14" s="1"/>
  <c r="X45" i="14" s="1"/>
  <c r="Z45" i="14" s="1"/>
  <c r="AE44" i="14" a="1"/>
  <c r="AE44" i="14" s="1"/>
  <c r="Q44" i="14"/>
  <c r="R44" i="14" s="1"/>
  <c r="T44" i="14" s="1"/>
  <c r="U44" i="14" s="1"/>
  <c r="V44" i="14" s="1"/>
  <c r="X44" i="14" s="1"/>
  <c r="Z44" i="14" s="1"/>
  <c r="AE43" i="14" a="1"/>
  <c r="AE43" i="14" s="1"/>
  <c r="Q43" i="14"/>
  <c r="R43" i="14" s="1"/>
  <c r="T43" i="14" s="1"/>
  <c r="U43" i="14" s="1"/>
  <c r="V43" i="14" s="1"/>
  <c r="X43" i="14" s="1"/>
  <c r="Z43" i="14" s="1"/>
  <c r="AE42" i="14" a="1"/>
  <c r="AE42" i="14" s="1"/>
  <c r="Q42" i="14"/>
  <c r="R42" i="14" s="1"/>
  <c r="T42" i="14" s="1"/>
  <c r="U42" i="14" s="1"/>
  <c r="V42" i="14" s="1"/>
  <c r="X42" i="14" s="1"/>
  <c r="Z42" i="14" s="1"/>
  <c r="AE41" i="14" a="1"/>
  <c r="AE41" i="14" s="1"/>
  <c r="Q41" i="14"/>
  <c r="R41" i="14" s="1"/>
  <c r="T41" i="14" s="1"/>
  <c r="U41" i="14" s="1"/>
  <c r="V41" i="14" s="1"/>
  <c r="X41" i="14" s="1"/>
  <c r="Z41" i="14" s="1"/>
  <c r="AE40" i="14" a="1"/>
  <c r="AE40" i="14" s="1"/>
  <c r="Q40" i="14"/>
  <c r="R40" i="14" s="1"/>
  <c r="T40" i="14" s="1"/>
  <c r="U40" i="14" s="1"/>
  <c r="V40" i="14" s="1"/>
  <c r="X40" i="14" s="1"/>
  <c r="Z40" i="14" s="1"/>
  <c r="AE39" i="14" a="1"/>
  <c r="AE39" i="14" s="1"/>
  <c r="Q39" i="14"/>
  <c r="R39" i="14" s="1"/>
  <c r="T39" i="14" s="1"/>
  <c r="U39" i="14" s="1"/>
  <c r="V39" i="14" s="1"/>
  <c r="X39" i="14" s="1"/>
  <c r="Z39" i="14" s="1"/>
  <c r="AE38" i="14" a="1"/>
  <c r="AE38" i="14" s="1"/>
  <c r="Q38" i="14"/>
  <c r="R38" i="14" s="1"/>
  <c r="T38" i="14" s="1"/>
  <c r="U38" i="14" s="1"/>
  <c r="V38" i="14" s="1"/>
  <c r="X38" i="14" s="1"/>
  <c r="Z38" i="14" s="1"/>
  <c r="AE37" i="14" a="1"/>
  <c r="AE37" i="14" s="1"/>
  <c r="Q37" i="14"/>
  <c r="R37" i="14" s="1"/>
  <c r="T37" i="14" s="1"/>
  <c r="U37" i="14" s="1"/>
  <c r="V37" i="14" s="1"/>
  <c r="X37" i="14" s="1"/>
  <c r="Z37" i="14" s="1"/>
  <c r="AE36" i="14" a="1"/>
  <c r="AE36" i="14" s="1"/>
  <c r="Q36" i="14"/>
  <c r="R36" i="14" s="1"/>
  <c r="T36" i="14" s="1"/>
  <c r="U36" i="14" s="1"/>
  <c r="V36" i="14" s="1"/>
  <c r="X36" i="14" s="1"/>
  <c r="Z36" i="14" s="1"/>
  <c r="AE35" i="14" a="1"/>
  <c r="AE35" i="14" s="1"/>
  <c r="Q35" i="14"/>
  <c r="R35" i="14" s="1"/>
  <c r="T35" i="14" s="1"/>
  <c r="U35" i="14" s="1"/>
  <c r="V35" i="14" s="1"/>
  <c r="X35" i="14" s="1"/>
  <c r="Z35" i="14" s="1"/>
  <c r="AE34" i="14" a="1"/>
  <c r="AE34" i="14" s="1"/>
  <c r="Q34" i="14"/>
  <c r="R34" i="14" s="1"/>
  <c r="T34" i="14" s="1"/>
  <c r="U34" i="14" s="1"/>
  <c r="V34" i="14" s="1"/>
  <c r="AD34" i="14" s="1"/>
  <c r="AE33" i="14" a="1"/>
  <c r="AE33" i="14" s="1"/>
  <c r="Q33" i="14"/>
  <c r="R33" i="14" s="1"/>
  <c r="T33" i="14" s="1"/>
  <c r="U33" i="14" s="1"/>
  <c r="V33" i="14" s="1"/>
  <c r="AE32" i="14" a="1"/>
  <c r="AE32" i="14" s="1"/>
  <c r="Q32" i="14"/>
  <c r="R32" i="14" s="1"/>
  <c r="T32" i="14" s="1"/>
  <c r="U32" i="14" s="1"/>
  <c r="V32" i="14" s="1"/>
  <c r="X32" i="14" s="1"/>
  <c r="Z32" i="14" s="1"/>
  <c r="AE31" i="14" a="1"/>
  <c r="AE31" i="14" s="1"/>
  <c r="Q31" i="14"/>
  <c r="R31" i="14" s="1"/>
  <c r="T31" i="14" s="1"/>
  <c r="U31" i="14" s="1"/>
  <c r="V31" i="14" s="1"/>
  <c r="X31" i="14" s="1"/>
  <c r="Z31" i="14" s="1"/>
  <c r="AE30" i="14" a="1"/>
  <c r="AE30" i="14" s="1"/>
  <c r="Q30" i="14"/>
  <c r="R30" i="14" s="1"/>
  <c r="T30" i="14" s="1"/>
  <c r="U30" i="14" s="1"/>
  <c r="V30" i="14" s="1"/>
  <c r="X30" i="14" s="1"/>
  <c r="Z30" i="14" s="1"/>
  <c r="AE29" i="14" a="1"/>
  <c r="AE29" i="14" s="1"/>
  <c r="Q29" i="14"/>
  <c r="R29" i="14" s="1"/>
  <c r="T29" i="14" s="1"/>
  <c r="U29" i="14" s="1"/>
  <c r="V29" i="14" s="1"/>
  <c r="X29" i="14" s="1"/>
  <c r="Z29" i="14" s="1"/>
  <c r="AE28" i="14" a="1"/>
  <c r="AE28" i="14" s="1"/>
  <c r="Q28" i="14"/>
  <c r="R28" i="14" s="1"/>
  <c r="T28" i="14" s="1"/>
  <c r="U28" i="14" s="1"/>
  <c r="V28" i="14" s="1"/>
  <c r="X28" i="14" s="1"/>
  <c r="Z28" i="14" s="1"/>
  <c r="AE27" i="14" a="1"/>
  <c r="AE27" i="14" s="1"/>
  <c r="Q27" i="14"/>
  <c r="R27" i="14" s="1"/>
  <c r="T27" i="14" s="1"/>
  <c r="U27" i="14" s="1"/>
  <c r="V27" i="14" s="1"/>
  <c r="X27" i="14" s="1"/>
  <c r="Z27" i="14" s="1"/>
  <c r="AE26" i="14" a="1"/>
  <c r="AE26" i="14" s="1"/>
  <c r="Q26" i="14"/>
  <c r="R26" i="14" s="1"/>
  <c r="T26" i="14" s="1"/>
  <c r="U26" i="14" s="1"/>
  <c r="V26" i="14" s="1"/>
  <c r="X26" i="14" s="1"/>
  <c r="Z26" i="14" s="1"/>
  <c r="AE25" i="14" a="1"/>
  <c r="AE25" i="14" s="1"/>
  <c r="Q25" i="14"/>
  <c r="R25" i="14" s="1"/>
  <c r="T25" i="14" s="1"/>
  <c r="U25" i="14" s="1"/>
  <c r="V25" i="14" s="1"/>
  <c r="X25" i="14" s="1"/>
  <c r="Z25" i="14" s="1"/>
  <c r="AE24" i="14" a="1"/>
  <c r="AE24" i="14" s="1"/>
  <c r="Q24" i="14"/>
  <c r="R24" i="14" s="1"/>
  <c r="T24" i="14" s="1"/>
  <c r="U24" i="14" s="1"/>
  <c r="V24" i="14" s="1"/>
  <c r="X24" i="14" s="1"/>
  <c r="Z24" i="14" s="1"/>
  <c r="AE23" i="14" a="1"/>
  <c r="AE23" i="14" s="1"/>
  <c r="Q23" i="14"/>
  <c r="R23" i="14" s="1"/>
  <c r="T23" i="14" s="1"/>
  <c r="U23" i="14" s="1"/>
  <c r="V23" i="14" s="1"/>
  <c r="X23" i="14" s="1"/>
  <c r="Z23" i="14" s="1"/>
  <c r="AE22" i="14" a="1"/>
  <c r="AE22" i="14" s="1"/>
  <c r="Q22" i="14"/>
  <c r="R22" i="14" s="1"/>
  <c r="T22" i="14" s="1"/>
  <c r="U22" i="14" s="1"/>
  <c r="V22" i="14" s="1"/>
  <c r="X22" i="14" s="1"/>
  <c r="Z22" i="14" s="1"/>
  <c r="AE21" i="14" a="1"/>
  <c r="AE21" i="14" s="1"/>
  <c r="Q21" i="14"/>
  <c r="R21" i="14" s="1"/>
  <c r="T21" i="14" s="1"/>
  <c r="U21" i="14" s="1"/>
  <c r="V21" i="14" s="1"/>
  <c r="AD21" i="14" s="1"/>
  <c r="AE20" i="14" a="1"/>
  <c r="AE20" i="14" s="1"/>
  <c r="Q20" i="14"/>
  <c r="R20" i="14" s="1"/>
  <c r="T20" i="14" s="1"/>
  <c r="U20" i="14" s="1"/>
  <c r="V20" i="14" s="1"/>
  <c r="AD20" i="14" s="1"/>
  <c r="AE19" i="14" a="1"/>
  <c r="AE19" i="14" s="1"/>
  <c r="Q19" i="14"/>
  <c r="R19" i="14" s="1"/>
  <c r="T19" i="14" s="1"/>
  <c r="U19" i="14" s="1"/>
  <c r="V19" i="14" s="1"/>
  <c r="X19" i="14" s="1"/>
  <c r="Z19" i="14" s="1"/>
  <c r="AE18" i="14" a="1"/>
  <c r="AE18" i="14" s="1"/>
  <c r="Q18" i="14"/>
  <c r="R18" i="14" s="1"/>
  <c r="T18" i="14" s="1"/>
  <c r="U18" i="14" s="1"/>
  <c r="V18" i="14" s="1"/>
  <c r="X18" i="14" s="1"/>
  <c r="Z18" i="14" s="1"/>
  <c r="AE17" i="14" a="1"/>
  <c r="AE17" i="14" s="1"/>
  <c r="Q17" i="14"/>
  <c r="R17" i="14" s="1"/>
  <c r="T17" i="14" s="1"/>
  <c r="U17" i="14" s="1"/>
  <c r="V17" i="14" s="1"/>
  <c r="X17" i="14" s="1"/>
  <c r="Z17" i="14" s="1"/>
  <c r="AE16" i="14" a="1"/>
  <c r="AE16" i="14" s="1"/>
  <c r="Q16" i="14"/>
  <c r="R16" i="14" s="1"/>
  <c r="T16" i="14" s="1"/>
  <c r="U16" i="14" s="1"/>
  <c r="V16" i="14" s="1"/>
  <c r="X16" i="14" s="1"/>
  <c r="Z16" i="14" s="1"/>
  <c r="AE15" i="14" a="1"/>
  <c r="AE15" i="14" s="1"/>
  <c r="Q15" i="14"/>
  <c r="R15" i="14" s="1"/>
  <c r="T15" i="14" s="1"/>
  <c r="U15" i="14" s="1"/>
  <c r="V15" i="14" s="1"/>
  <c r="X15" i="14" s="1"/>
  <c r="Z15" i="14" s="1"/>
  <c r="AE14" i="14" a="1"/>
  <c r="AE14" i="14" s="1"/>
  <c r="Q14" i="14"/>
  <c r="R14" i="14" s="1"/>
  <c r="T14" i="14" s="1"/>
  <c r="U14" i="14" s="1"/>
  <c r="V14" i="14" s="1"/>
  <c r="X14" i="14" s="1"/>
  <c r="Z14" i="14" s="1"/>
  <c r="AE13" i="14" a="1"/>
  <c r="AE13" i="14" s="1"/>
  <c r="Q13" i="14"/>
  <c r="R13" i="14" s="1"/>
  <c r="T13" i="14" s="1"/>
  <c r="U13" i="14" s="1"/>
  <c r="V13" i="14" s="1"/>
  <c r="X13" i="14" s="1"/>
  <c r="Z13" i="14" s="1"/>
  <c r="AE12" i="14" a="1"/>
  <c r="AE12" i="14" s="1"/>
  <c r="Q12" i="14"/>
  <c r="R12" i="14" s="1"/>
  <c r="T12" i="14" s="1"/>
  <c r="U12" i="14" s="1"/>
  <c r="V12" i="14" s="1"/>
  <c r="X12" i="14" s="1"/>
  <c r="Z12" i="14" s="1"/>
  <c r="AE11" i="14" a="1"/>
  <c r="AE11" i="14" s="1"/>
  <c r="Q11" i="14"/>
  <c r="R11" i="14" s="1"/>
  <c r="T11" i="14" s="1"/>
  <c r="U11" i="14" s="1"/>
  <c r="V11" i="14" s="1"/>
  <c r="X11" i="14" s="1"/>
  <c r="Z11" i="14" s="1"/>
  <c r="AE10" i="14" a="1"/>
  <c r="AE10" i="14" s="1"/>
  <c r="Q10" i="14"/>
  <c r="R10" i="14" s="1"/>
  <c r="T10" i="14" s="1"/>
  <c r="U10" i="14" s="1"/>
  <c r="V10" i="14" s="1"/>
  <c r="X10" i="14" s="1"/>
  <c r="Z10" i="14" s="1"/>
  <c r="AE9" i="14" a="1"/>
  <c r="AE9" i="14" s="1"/>
  <c r="Q9" i="14"/>
  <c r="R9" i="14" s="1"/>
  <c r="T9" i="14" s="1"/>
  <c r="U9" i="14" s="1"/>
  <c r="V9" i="14" s="1"/>
  <c r="X9" i="14" s="1"/>
  <c r="Z9" i="14" s="1"/>
  <c r="AE8" i="14" a="1"/>
  <c r="AE8" i="14" s="1"/>
  <c r="Q8" i="14"/>
  <c r="R8" i="14" s="1"/>
  <c r="T8" i="14" s="1"/>
  <c r="U8" i="14" s="1"/>
  <c r="V8" i="14" s="1"/>
  <c r="X8" i="14" s="1"/>
  <c r="Z8" i="14" s="1"/>
  <c r="AE7" i="14" a="1"/>
  <c r="AE7" i="14" s="1"/>
  <c r="Q7" i="14"/>
  <c r="R7" i="14" s="1"/>
  <c r="T7" i="14" s="1"/>
  <c r="U7" i="14" s="1"/>
  <c r="V7" i="14" s="1"/>
  <c r="X7" i="14" s="1"/>
  <c r="Z7" i="14" s="1"/>
  <c r="AE6" i="14" a="1"/>
  <c r="AE6" i="14" s="1"/>
  <c r="Q6" i="14"/>
  <c r="R6" i="14" s="1"/>
  <c r="T6" i="14" s="1"/>
  <c r="U6" i="14" s="1"/>
  <c r="V6" i="14" s="1"/>
  <c r="X6" i="14" s="1"/>
  <c r="Z6" i="14" s="1"/>
  <c r="AE5" i="14" a="1"/>
  <c r="AE5" i="14" s="1"/>
  <c r="Q5" i="14"/>
  <c r="R5" i="14" s="1"/>
  <c r="T5" i="14" s="1"/>
  <c r="U5" i="14" s="1"/>
  <c r="V5" i="14" s="1"/>
  <c r="X5" i="14" s="1"/>
  <c r="Z5" i="14" s="1"/>
  <c r="AE4" i="14" a="1"/>
  <c r="AE4" i="14" s="1"/>
  <c r="Q4" i="14"/>
  <c r="R4" i="14" s="1"/>
  <c r="T4" i="14" s="1"/>
  <c r="U4" i="14" s="1"/>
  <c r="V4" i="14" s="1"/>
  <c r="X4" i="14" s="1"/>
  <c r="Z4" i="14" s="1"/>
  <c r="AE3" i="14" a="1"/>
  <c r="AE3" i="14" s="1"/>
  <c r="Q3" i="14"/>
  <c r="R3" i="14" s="1"/>
  <c r="T3" i="14" s="1"/>
  <c r="U3" i="14" s="1"/>
  <c r="V3" i="14" s="1"/>
  <c r="X3" i="14" s="1"/>
  <c r="Z3" i="14" s="1"/>
  <c r="AE2" i="14" a="1"/>
  <c r="AE2" i="14" s="1"/>
  <c r="Q2" i="14"/>
  <c r="R2" i="14" s="1"/>
  <c r="T2" i="14" s="1"/>
  <c r="U2" i="14" s="1"/>
  <c r="V2" i="14" s="1"/>
  <c r="X2" i="14" s="1"/>
  <c r="Z2" i="14" s="1"/>
  <c r="AC251" i="14" l="1"/>
  <c r="AC241" i="14"/>
  <c r="AC240" i="14"/>
  <c r="AC229" i="14"/>
  <c r="AC217" i="14"/>
  <c r="AC216" i="14"/>
  <c r="AC205" i="14"/>
  <c r="AC204" i="14"/>
  <c r="AC193" i="14"/>
  <c r="AC192" i="14"/>
  <c r="AC181" i="14"/>
  <c r="AC169" i="14"/>
  <c r="AC157" i="14"/>
  <c r="AC145" i="14"/>
  <c r="AC133" i="14"/>
  <c r="AC121" i="14"/>
  <c r="AC109" i="14"/>
  <c r="AC97" i="14"/>
  <c r="AC85" i="14"/>
  <c r="AC61" i="14"/>
  <c r="AC49" i="14"/>
  <c r="AC37" i="14"/>
  <c r="AC25" i="14"/>
  <c r="AC13" i="14"/>
  <c r="AC168" i="14"/>
  <c r="AC156" i="14"/>
  <c r="AC144" i="14"/>
  <c r="AC132" i="14"/>
  <c r="AC108" i="14"/>
  <c r="AC84" i="14"/>
  <c r="AC72" i="14"/>
  <c r="AC60" i="14"/>
  <c r="AC48" i="14"/>
  <c r="AC36" i="14"/>
  <c r="AC24" i="14"/>
  <c r="AC12" i="14"/>
  <c r="AC239" i="14"/>
  <c r="AC227" i="14"/>
  <c r="AC203" i="14"/>
  <c r="AC191" i="14"/>
  <c r="AC143" i="14"/>
  <c r="AC131" i="14"/>
  <c r="AC119" i="14"/>
  <c r="AC107" i="14"/>
  <c r="AC95" i="14"/>
  <c r="AC83" i="14"/>
  <c r="AC71" i="14"/>
  <c r="AC59" i="14"/>
  <c r="AC47" i="14"/>
  <c r="AC35" i="14"/>
  <c r="AC23" i="14"/>
  <c r="AC11" i="14"/>
  <c r="AC250" i="14"/>
  <c r="AC238" i="14"/>
  <c r="AC226" i="14"/>
  <c r="AC214" i="14"/>
  <c r="AC202" i="14"/>
  <c r="AC190" i="14"/>
  <c r="AC178" i="14"/>
  <c r="AC166" i="14"/>
  <c r="AC154" i="14"/>
  <c r="AC130" i="14"/>
  <c r="AC118" i="14"/>
  <c r="AC106" i="14"/>
  <c r="AC82" i="14"/>
  <c r="AC58" i="14"/>
  <c r="AC46" i="14"/>
  <c r="AC22" i="14"/>
  <c r="AC10" i="14"/>
  <c r="AC249" i="14"/>
  <c r="AC237" i="14"/>
  <c r="AC225" i="14"/>
  <c r="AC213" i="14"/>
  <c r="AC201" i="14"/>
  <c r="AC177" i="14"/>
  <c r="AC165" i="14"/>
  <c r="AC153" i="14"/>
  <c r="AC141" i="14"/>
  <c r="AC129" i="14"/>
  <c r="AC117" i="14"/>
  <c r="AC105" i="14"/>
  <c r="AC93" i="14"/>
  <c r="AC69" i="14"/>
  <c r="AC57" i="14"/>
  <c r="AC45" i="14"/>
  <c r="AC9" i="14"/>
  <c r="AC248" i="14"/>
  <c r="AC236" i="14"/>
  <c r="AC224" i="14"/>
  <c r="AC212" i="14"/>
  <c r="AC200" i="14"/>
  <c r="AC188" i="14"/>
  <c r="AC176" i="14"/>
  <c r="AC164" i="14"/>
  <c r="AC152" i="14"/>
  <c r="AC140" i="14"/>
  <c r="AC128" i="14"/>
  <c r="AC116" i="14"/>
  <c r="AC104" i="14"/>
  <c r="AC92" i="14"/>
  <c r="AC68" i="14"/>
  <c r="AC44" i="14"/>
  <c r="AC32" i="14"/>
  <c r="AC8" i="14"/>
  <c r="AC247" i="14"/>
  <c r="AC235" i="14"/>
  <c r="AC223" i="14"/>
  <c r="AC211" i="14"/>
  <c r="AC199" i="14"/>
  <c r="AC187" i="14"/>
  <c r="AC175" i="14"/>
  <c r="AC163" i="14"/>
  <c r="AC151" i="14"/>
  <c r="AC139" i="14"/>
  <c r="AC127" i="14"/>
  <c r="AC115" i="14"/>
  <c r="AC91" i="14"/>
  <c r="AC79" i="14"/>
  <c r="AC67" i="14"/>
  <c r="AC55" i="14"/>
  <c r="AC43" i="14"/>
  <c r="AC31" i="14"/>
  <c r="AC19" i="14"/>
  <c r="AC7" i="14"/>
  <c r="AC246" i="14"/>
  <c r="AC234" i="14"/>
  <c r="AC222" i="14"/>
  <c r="AC174" i="14"/>
  <c r="AC150" i="14"/>
  <c r="AC126" i="14"/>
  <c r="AC114" i="14"/>
  <c r="AC102" i="14"/>
  <c r="AC90" i="14"/>
  <c r="AC78" i="14"/>
  <c r="AC66" i="14"/>
  <c r="AC54" i="14"/>
  <c r="AC42" i="14"/>
  <c r="AC30" i="14"/>
  <c r="AC18" i="14"/>
  <c r="AC6" i="14"/>
  <c r="AC245" i="14"/>
  <c r="AC233" i="14"/>
  <c r="AC209" i="14"/>
  <c r="AC197" i="14"/>
  <c r="AC185" i="14"/>
  <c r="AC161" i="14"/>
  <c r="AC149" i="14"/>
  <c r="AC137" i="14"/>
  <c r="AC125" i="14"/>
  <c r="AC113" i="14"/>
  <c r="AC89" i="14"/>
  <c r="AC77" i="14"/>
  <c r="AC65" i="14"/>
  <c r="AC53" i="14"/>
  <c r="AC41" i="14"/>
  <c r="AC29" i="14"/>
  <c r="AC17" i="14"/>
  <c r="AC5" i="14"/>
  <c r="AC244" i="14"/>
  <c r="AC232" i="14"/>
  <c r="AC220" i="14"/>
  <c r="AC208" i="14"/>
  <c r="AC196" i="14"/>
  <c r="AC184" i="14"/>
  <c r="AC172" i="14"/>
  <c r="AC160" i="14"/>
  <c r="AC148" i="14"/>
  <c r="AC136" i="14"/>
  <c r="AC124" i="14"/>
  <c r="AC112" i="14"/>
  <c r="AC100" i="14"/>
  <c r="AC88" i="14"/>
  <c r="AC76" i="14"/>
  <c r="AC64" i="14"/>
  <c r="AC52" i="14"/>
  <c r="AC40" i="14"/>
  <c r="AC28" i="14"/>
  <c r="AC16" i="14"/>
  <c r="AC4" i="14"/>
  <c r="AC243" i="14"/>
  <c r="AC231" i="14"/>
  <c r="AC219" i="14"/>
  <c r="AC207" i="14"/>
  <c r="AC195" i="14"/>
  <c r="AC183" i="14"/>
  <c r="AC171" i="14"/>
  <c r="AC159" i="14"/>
  <c r="AC147" i="14"/>
  <c r="AC135" i="14"/>
  <c r="AC123" i="14"/>
  <c r="AC111" i="14"/>
  <c r="AC99" i="14"/>
  <c r="AC87" i="14"/>
  <c r="AC75" i="14"/>
  <c r="AC63" i="14"/>
  <c r="AC51" i="14"/>
  <c r="AC39" i="14"/>
  <c r="AC27" i="14"/>
  <c r="AC15" i="14"/>
  <c r="AC3" i="14"/>
  <c r="AC242" i="14"/>
  <c r="AC230" i="14"/>
  <c r="AC218" i="14"/>
  <c r="AC206" i="14"/>
  <c r="AC194" i="14"/>
  <c r="AC182" i="14"/>
  <c r="AC170" i="14"/>
  <c r="AC158" i="14"/>
  <c r="AC146" i="14"/>
  <c r="AC134" i="14"/>
  <c r="AC122" i="14"/>
  <c r="AC98" i="14"/>
  <c r="AC86" i="14"/>
  <c r="AC74" i="14"/>
  <c r="AC62" i="14"/>
  <c r="AC50" i="14"/>
  <c r="AC38" i="14"/>
  <c r="AC26" i="14"/>
  <c r="AC14" i="14"/>
  <c r="AC2" i="14"/>
  <c r="X110" i="14"/>
  <c r="Z110" i="14" s="1"/>
  <c r="AC110" i="14" s="1"/>
  <c r="AF110" i="14" s="1"/>
  <c r="AG110" i="14" s="1"/>
  <c r="X73" i="14"/>
  <c r="Z73" i="14" s="1"/>
  <c r="AC73" i="14" s="1"/>
  <c r="X228" i="14"/>
  <c r="Z228" i="14" s="1"/>
  <c r="AC228" i="14" s="1"/>
  <c r="AF228" i="14" s="1"/>
  <c r="AG228" i="14" s="1"/>
  <c r="X120" i="14"/>
  <c r="Z120" i="14" s="1"/>
  <c r="AC120" i="14" s="1"/>
  <c r="X96" i="14"/>
  <c r="Z96" i="14" s="1"/>
  <c r="AC96" i="14" s="1"/>
  <c r="AF96" i="14" s="1"/>
  <c r="AG96" i="14" s="1"/>
  <c r="X215" i="14"/>
  <c r="Z215" i="14" s="1"/>
  <c r="AC215" i="14" s="1"/>
  <c r="X179" i="14"/>
  <c r="Z179" i="14" s="1"/>
  <c r="AC179" i="14" s="1"/>
  <c r="X167" i="14"/>
  <c r="Z167" i="14" s="1"/>
  <c r="AC167" i="14" s="1"/>
  <c r="AF167" i="14" s="1"/>
  <c r="AG167" i="14" s="1"/>
  <c r="X155" i="14"/>
  <c r="Z155" i="14" s="1"/>
  <c r="AC155" i="14" s="1"/>
  <c r="AF155" i="14" s="1"/>
  <c r="AG155" i="14" s="1"/>
  <c r="X142" i="14"/>
  <c r="Z142" i="14" s="1"/>
  <c r="AC142" i="14" s="1"/>
  <c r="X94" i="14"/>
  <c r="Z94" i="14" s="1"/>
  <c r="AC94" i="14" s="1"/>
  <c r="X70" i="14"/>
  <c r="Z70" i="14" s="1"/>
  <c r="AC70" i="14" s="1"/>
  <c r="AF70" i="14" s="1"/>
  <c r="AG70" i="14" s="1"/>
  <c r="X34" i="14"/>
  <c r="Z34" i="14" s="1"/>
  <c r="AC34" i="14" s="1"/>
  <c r="AF34" i="14" s="1"/>
  <c r="AG34" i="14" s="1"/>
  <c r="X189" i="14"/>
  <c r="Z189" i="14" s="1"/>
  <c r="AC189" i="14" s="1"/>
  <c r="X81" i="14"/>
  <c r="Z81" i="14" s="1"/>
  <c r="AC81" i="14" s="1"/>
  <c r="X33" i="14"/>
  <c r="Z33" i="14" s="1"/>
  <c r="AC33" i="14" s="1"/>
  <c r="X21" i="14"/>
  <c r="Z21" i="14" s="1"/>
  <c r="AC21" i="14" s="1"/>
  <c r="AF21" i="14" s="1"/>
  <c r="AG21" i="14" s="1"/>
  <c r="X80" i="14"/>
  <c r="Z80" i="14" s="1"/>
  <c r="AC80" i="14" s="1"/>
  <c r="AF80" i="14" s="1"/>
  <c r="AG80" i="14" s="1"/>
  <c r="X56" i="14"/>
  <c r="Z56" i="14" s="1"/>
  <c r="AC56" i="14" s="1"/>
  <c r="X20" i="14"/>
  <c r="Z20" i="14" s="1"/>
  <c r="AC20" i="14" s="1"/>
  <c r="AF20" i="14" s="1"/>
  <c r="AG20" i="14" s="1"/>
  <c r="X103" i="14"/>
  <c r="Z103" i="14" s="1"/>
  <c r="AC103" i="14" s="1"/>
  <c r="AF103" i="14" s="1"/>
  <c r="AG103" i="14" s="1"/>
  <c r="X210" i="14"/>
  <c r="Z210" i="14" s="1"/>
  <c r="AC210" i="14" s="1"/>
  <c r="AF210" i="14" s="1"/>
  <c r="AG210" i="14" s="1"/>
  <c r="X198" i="14"/>
  <c r="Z198" i="14" s="1"/>
  <c r="AC198" i="14" s="1"/>
  <c r="AF198" i="14" s="1"/>
  <c r="AG198" i="14" s="1"/>
  <c r="X186" i="14"/>
  <c r="Z186" i="14" s="1"/>
  <c r="AC186" i="14" s="1"/>
  <c r="AF186" i="14" s="1"/>
  <c r="AG186" i="14" s="1"/>
  <c r="X162" i="14"/>
  <c r="Z162" i="14" s="1"/>
  <c r="AC162" i="14" s="1"/>
  <c r="AF162" i="14" s="1"/>
  <c r="AG162" i="14" s="1"/>
  <c r="X138" i="14"/>
  <c r="Z138" i="14" s="1"/>
  <c r="AC138" i="14" s="1"/>
  <c r="AF138" i="14" s="1"/>
  <c r="AG138" i="14" s="1"/>
  <c r="X221" i="14"/>
  <c r="Z221" i="14" s="1"/>
  <c r="AC221" i="14" s="1"/>
  <c r="X173" i="14"/>
  <c r="Z173" i="14" s="1"/>
  <c r="AC173" i="14" s="1"/>
  <c r="X101" i="14"/>
  <c r="Z101" i="14" s="1"/>
  <c r="AC101" i="14" s="1"/>
  <c r="AF101" i="14" s="1"/>
  <c r="AG101" i="14" s="1"/>
  <c r="AD74" i="14"/>
  <c r="AD177" i="14"/>
  <c r="AD174" i="14"/>
  <c r="AD94" i="14"/>
  <c r="AD151" i="14"/>
  <c r="AD214" i="14"/>
  <c r="AD73" i="14"/>
  <c r="AD26" i="14"/>
  <c r="AD84" i="14"/>
  <c r="AD38" i="14"/>
  <c r="AD77" i="14"/>
  <c r="AD116" i="14"/>
  <c r="AD72" i="14"/>
  <c r="AD39" i="14"/>
  <c r="AD86" i="14"/>
  <c r="AD18" i="14"/>
  <c r="AD15" i="14"/>
  <c r="AD61" i="14"/>
  <c r="AD24" i="14"/>
  <c r="AD32" i="14"/>
  <c r="AD58" i="14"/>
  <c r="AD3" i="14"/>
  <c r="AD19" i="14"/>
  <c r="AD55" i="14"/>
  <c r="AD64" i="14"/>
  <c r="AD16" i="14"/>
  <c r="AD43" i="14"/>
  <c r="AD51" i="14"/>
  <c r="AD109" i="14"/>
  <c r="AD69" i="14"/>
  <c r="AD17" i="14"/>
  <c r="AD6" i="14"/>
  <c r="AD48" i="14"/>
  <c r="AD67" i="14"/>
  <c r="AD42" i="14"/>
  <c r="AD4" i="14"/>
  <c r="AD14" i="14"/>
  <c r="AD25" i="14"/>
  <c r="AD52" i="14"/>
  <c r="AD91" i="14"/>
  <c r="AD95" i="14"/>
  <c r="AD31" i="14"/>
  <c r="AD8" i="14"/>
  <c r="AD5" i="14"/>
  <c r="AD44" i="14"/>
  <c r="AD2" i="14"/>
  <c r="AD7" i="14"/>
  <c r="AD27" i="14"/>
  <c r="AD89" i="14"/>
  <c r="AD126" i="14"/>
  <c r="AD107" i="14"/>
  <c r="AD98" i="14"/>
  <c r="AD10" i="14"/>
  <c r="AD28" i="14"/>
  <c r="AD62" i="14"/>
  <c r="AD87" i="14"/>
  <c r="AD90" i="14"/>
  <c r="AD135" i="14"/>
  <c r="AD147" i="14"/>
  <c r="AD22" i="14"/>
  <c r="AD83" i="14"/>
  <c r="AD46" i="14"/>
  <c r="AD23" i="14"/>
  <c r="AD75" i="14"/>
  <c r="AD35" i="14"/>
  <c r="AD59" i="14"/>
  <c r="AD65" i="14"/>
  <c r="AD68" i="14"/>
  <c r="AD78" i="14"/>
  <c r="AD99" i="14"/>
  <c r="AD128" i="14"/>
  <c r="AD157" i="14"/>
  <c r="AD165" i="14"/>
  <c r="AD54" i="14"/>
  <c r="AD123" i="14"/>
  <c r="AD36" i="14"/>
  <c r="AD57" i="14"/>
  <c r="AD93" i="14"/>
  <c r="AD102" i="14"/>
  <c r="AD120" i="14"/>
  <c r="AD132" i="14"/>
  <c r="AD200" i="14"/>
  <c r="AD139" i="14"/>
  <c r="AD33" i="14"/>
  <c r="AD13" i="14"/>
  <c r="AD60" i="14"/>
  <c r="AD71" i="14"/>
  <c r="AD125" i="14"/>
  <c r="AD97" i="14"/>
  <c r="AD41" i="14"/>
  <c r="AD29" i="14"/>
  <c r="AD47" i="14"/>
  <c r="AD63" i="14"/>
  <c r="AD76" i="14"/>
  <c r="AD79" i="14"/>
  <c r="AD85" i="14"/>
  <c r="AD88" i="14"/>
  <c r="AD137" i="14"/>
  <c r="AD145" i="14"/>
  <c r="AD37" i="14"/>
  <c r="AD56" i="14"/>
  <c r="AD12" i="14"/>
  <c r="AD92" i="14"/>
  <c r="AD40" i="14"/>
  <c r="AD66" i="14"/>
  <c r="AD106" i="14"/>
  <c r="AD129" i="14"/>
  <c r="AD30" i="14"/>
  <c r="AD104" i="14"/>
  <c r="AD113" i="14"/>
  <c r="AD11" i="14"/>
  <c r="AD9" i="14"/>
  <c r="AD45" i="14"/>
  <c r="AD50" i="14"/>
  <c r="AD53" i="14"/>
  <c r="AD82" i="14"/>
  <c r="AD118" i="14"/>
  <c r="AD122" i="14"/>
  <c r="AD169" i="14"/>
  <c r="AD197" i="14"/>
  <c r="AD208" i="14"/>
  <c r="AD237" i="14"/>
  <c r="AD242" i="14"/>
  <c r="AD130" i="14"/>
  <c r="AD133" i="14"/>
  <c r="AF133" i="14" s="1"/>
  <c r="AG133" i="14" s="1"/>
  <c r="AD136" i="14"/>
  <c r="AD148" i="14"/>
  <c r="AD153" i="14"/>
  <c r="AD159" i="14"/>
  <c r="AD190" i="14"/>
  <c r="AD219" i="14"/>
  <c r="AD247" i="14"/>
  <c r="AD172" i="14"/>
  <c r="AD224" i="14"/>
  <c r="AD233" i="14"/>
  <c r="AD238" i="14"/>
  <c r="AD183" i="14"/>
  <c r="AD220" i="14"/>
  <c r="AD121" i="14"/>
  <c r="AD146" i="14"/>
  <c r="AD213" i="14"/>
  <c r="AD112" i="14"/>
  <c r="AD114" i="14"/>
  <c r="AD124" i="14"/>
  <c r="AD134" i="14"/>
  <c r="AD140" i="14"/>
  <c r="AD143" i="14"/>
  <c r="AD225" i="14"/>
  <c r="AD81" i="14"/>
  <c r="AD100" i="14"/>
  <c r="AD117" i="14"/>
  <c r="AD131" i="14"/>
  <c r="AD149" i="14"/>
  <c r="AD178" i="14"/>
  <c r="AD184" i="14"/>
  <c r="AD202" i="14"/>
  <c r="AD105" i="14"/>
  <c r="AD144" i="14"/>
  <c r="AD161" i="14"/>
  <c r="AD115" i="14"/>
  <c r="AD119" i="14"/>
  <c r="AD152" i="14"/>
  <c r="AD158" i="14"/>
  <c r="AD168" i="14"/>
  <c r="AD108" i="14"/>
  <c r="AD127" i="14"/>
  <c r="AD176" i="14"/>
  <c r="AD141" i="14"/>
  <c r="AD189" i="14"/>
  <c r="AD199" i="14"/>
  <c r="AD49" i="14"/>
  <c r="AD111" i="14"/>
  <c r="AD156" i="14"/>
  <c r="AD182" i="14"/>
  <c r="AD243" i="14"/>
  <c r="AD248" i="14"/>
  <c r="AD160" i="14"/>
  <c r="AD181" i="14"/>
  <c r="AD194" i="14"/>
  <c r="AD170" i="14"/>
  <c r="AD187" i="14"/>
  <c r="AD191" i="14"/>
  <c r="AD211" i="14"/>
  <c r="AD218" i="14"/>
  <c r="AD163" i="14"/>
  <c r="AD166" i="14"/>
  <c r="AD201" i="14"/>
  <c r="AD154" i="14"/>
  <c r="AD188" i="14"/>
  <c r="AD205" i="14"/>
  <c r="AD212" i="14"/>
  <c r="AD222" i="14"/>
  <c r="AD226" i="14"/>
  <c r="AD150" i="14"/>
  <c r="AD192" i="14"/>
  <c r="AD175" i="14"/>
  <c r="AD196" i="14"/>
  <c r="AD142" i="14"/>
  <c r="AD164" i="14"/>
  <c r="AD173" i="14"/>
  <c r="AD180" i="14"/>
  <c r="AD216" i="14"/>
  <c r="AD229" i="14"/>
  <c r="AD234" i="14"/>
  <c r="AD239" i="14"/>
  <c r="AD244" i="14"/>
  <c r="AD179" i="14"/>
  <c r="AD195" i="14"/>
  <c r="AD203" i="14"/>
  <c r="AD206" i="14"/>
  <c r="AD223" i="14"/>
  <c r="AD230" i="14"/>
  <c r="AD240" i="14"/>
  <c r="AD249" i="14"/>
  <c r="AD185" i="14"/>
  <c r="AD209" i="14"/>
  <c r="AD217" i="14"/>
  <c r="AD235" i="14"/>
  <c r="AD193" i="14"/>
  <c r="AD227" i="14"/>
  <c r="AD245" i="14"/>
  <c r="AD250" i="14"/>
  <c r="AD171" i="14"/>
  <c r="AD231" i="14"/>
  <c r="AF231" i="14" s="1"/>
  <c r="AG231" i="14" s="1"/>
  <c r="AD236" i="14"/>
  <c r="AD204" i="14"/>
  <c r="AD241" i="14"/>
  <c r="AD246" i="14"/>
  <c r="AD251" i="14"/>
  <c r="AD207" i="14"/>
  <c r="AD215" i="14"/>
  <c r="AD221" i="14"/>
  <c r="AD232" i="14"/>
  <c r="AF74" i="14" l="1"/>
  <c r="AG74" i="14" s="1"/>
  <c r="AF195" i="14"/>
  <c r="AG195" i="14" s="1"/>
  <c r="AF35" i="14"/>
  <c r="AG35" i="14" s="1"/>
  <c r="AF120" i="14"/>
  <c r="AG120" i="14" s="1"/>
  <c r="AF8" i="14"/>
  <c r="AG8" i="14" s="1"/>
  <c r="AF33" i="14"/>
  <c r="AG33" i="14" s="1"/>
  <c r="AF94" i="14"/>
  <c r="AG94" i="14" s="1"/>
  <c r="AF142" i="14"/>
  <c r="AG142" i="14" s="1"/>
  <c r="AF179" i="14"/>
  <c r="AG179" i="14" s="1"/>
  <c r="AF81" i="14"/>
  <c r="AG81" i="14" s="1"/>
  <c r="AF73" i="14"/>
  <c r="AG73" i="14" s="1"/>
  <c r="AF221" i="14"/>
  <c r="AG221" i="14" s="1"/>
  <c r="AF56" i="14"/>
  <c r="AG56" i="14" s="1"/>
  <c r="AF215" i="14"/>
  <c r="AG215" i="14" s="1"/>
  <c r="AF189" i="14"/>
  <c r="AG189" i="14" s="1"/>
  <c r="AF173" i="14"/>
  <c r="AG173" i="14" s="1"/>
  <c r="AF14" i="14"/>
  <c r="AG14" i="14" s="1"/>
  <c r="AF72" i="14"/>
  <c r="AG72" i="14" s="1"/>
  <c r="AF188" i="14"/>
  <c r="AG188" i="14" s="1"/>
  <c r="AF218" i="14"/>
  <c r="AG218" i="14" s="1"/>
  <c r="AF232" i="14"/>
  <c r="AG232" i="14" s="1"/>
  <c r="AF230" i="14"/>
  <c r="AG230" i="14" s="1"/>
  <c r="AF226" i="14"/>
  <c r="AG226" i="14" s="1"/>
  <c r="AF187" i="14"/>
  <c r="AG187" i="14" s="1"/>
  <c r="AF46" i="14"/>
  <c r="AG46" i="14" s="1"/>
  <c r="AF5" i="14"/>
  <c r="AG5" i="14" s="1"/>
  <c r="AF6" i="14"/>
  <c r="AG6" i="14" s="1"/>
  <c r="AF16" i="14"/>
  <c r="AG16" i="14" s="1"/>
  <c r="AF153" i="14"/>
  <c r="AG153" i="14" s="1"/>
  <c r="AF7" i="14"/>
  <c r="AG7" i="14" s="1"/>
  <c r="AF109" i="14"/>
  <c r="AG109" i="14" s="1"/>
  <c r="AF237" i="14"/>
  <c r="AG237" i="14" s="1"/>
  <c r="AF32" i="14"/>
  <c r="AG32" i="14" s="1"/>
  <c r="AF250" i="14"/>
  <c r="AG250" i="14" s="1"/>
  <c r="AF177" i="14"/>
  <c r="AG177" i="14" s="1"/>
  <c r="AF200" i="14"/>
  <c r="AG200" i="14" s="1"/>
  <c r="AF151" i="14"/>
  <c r="AG151" i="14" s="1"/>
  <c r="AF241" i="14"/>
  <c r="AG241" i="14" s="1"/>
  <c r="AF209" i="14"/>
  <c r="AG209" i="14" s="1"/>
  <c r="AF77" i="14"/>
  <c r="AG77" i="14" s="1"/>
  <c r="AF135" i="14"/>
  <c r="AG135" i="14" s="1"/>
  <c r="AF91" i="14"/>
  <c r="AG91" i="14" s="1"/>
  <c r="AF199" i="14"/>
  <c r="AG199" i="14" s="1"/>
  <c r="AF247" i="14"/>
  <c r="AG247" i="14" s="1"/>
  <c r="AF92" i="14"/>
  <c r="AG92" i="14" s="1"/>
  <c r="AF117" i="14"/>
  <c r="AG117" i="14" s="1"/>
  <c r="AF22" i="14"/>
  <c r="AG22" i="14" s="1"/>
  <c r="AF28" i="14"/>
  <c r="AG28" i="14" s="1"/>
  <c r="AF4" i="14"/>
  <c r="AG4" i="14" s="1"/>
  <c r="AF69" i="14"/>
  <c r="AG69" i="14" s="1"/>
  <c r="AF235" i="14"/>
  <c r="AG235" i="14" s="1"/>
  <c r="AF223" i="14"/>
  <c r="AG223" i="14" s="1"/>
  <c r="AF229" i="14"/>
  <c r="AG229" i="14" s="1"/>
  <c r="AF205" i="14"/>
  <c r="AG205" i="14" s="1"/>
  <c r="AF131" i="14"/>
  <c r="AG131" i="14" s="1"/>
  <c r="AF240" i="14"/>
  <c r="AG240" i="14" s="1"/>
  <c r="AF130" i="14"/>
  <c r="AG130" i="14" s="1"/>
  <c r="AF214" i="14"/>
  <c r="AG214" i="14" s="1"/>
  <c r="AF146" i="14"/>
  <c r="AG146" i="14" s="1"/>
  <c r="AF217" i="14"/>
  <c r="AG217" i="14" s="1"/>
  <c r="AF208" i="14"/>
  <c r="AG208" i="14" s="1"/>
  <c r="AF88" i="14"/>
  <c r="AG88" i="14" s="1"/>
  <c r="AF60" i="14"/>
  <c r="AG60" i="14" s="1"/>
  <c r="AF165" i="14"/>
  <c r="AG165" i="14" s="1"/>
  <c r="AF248" i="14"/>
  <c r="AG248" i="14" s="1"/>
  <c r="AF238" i="14"/>
  <c r="AG238" i="14" s="1"/>
  <c r="AF55" i="14"/>
  <c r="AG55" i="14" s="1"/>
  <c r="AF61" i="14"/>
  <c r="AG61" i="14" s="1"/>
  <c r="AF37" i="14"/>
  <c r="AG37" i="14" s="1"/>
  <c r="AF97" i="14"/>
  <c r="AG97" i="14" s="1"/>
  <c r="AF99" i="14"/>
  <c r="AG99" i="14" s="1"/>
  <c r="AF206" i="14"/>
  <c r="AG206" i="14" s="1"/>
  <c r="AF45" i="14"/>
  <c r="AG45" i="14" s="1"/>
  <c r="AF194" i="14"/>
  <c r="AG194" i="14" s="1"/>
  <c r="AF182" i="14"/>
  <c r="AG182" i="14" s="1"/>
  <c r="AF107" i="14"/>
  <c r="AG107" i="14" s="1"/>
  <c r="AF44" i="14"/>
  <c r="AG44" i="14" s="1"/>
  <c r="AF48" i="14"/>
  <c r="AG48" i="14" s="1"/>
  <c r="AF58" i="14"/>
  <c r="AG58" i="14" s="1"/>
  <c r="AF84" i="14"/>
  <c r="AG84" i="14" s="1"/>
  <c r="AF174" i="14"/>
  <c r="AG174" i="14" s="1"/>
  <c r="AF49" i="14"/>
  <c r="AG49" i="14" s="1"/>
  <c r="AF150" i="14"/>
  <c r="AG150" i="14" s="1"/>
  <c r="AF136" i="14"/>
  <c r="AG136" i="14" s="1"/>
  <c r="AF222" i="14"/>
  <c r="AG222" i="14" s="1"/>
  <c r="AF225" i="14"/>
  <c r="AG225" i="14" s="1"/>
  <c r="AF124" i="14"/>
  <c r="AG124" i="14" s="1"/>
  <c r="AF82" i="14"/>
  <c r="AG82" i="14" s="1"/>
  <c r="AF145" i="14"/>
  <c r="AG145" i="14" s="1"/>
  <c r="AF239" i="14"/>
  <c r="AG239" i="14" s="1"/>
  <c r="AF104" i="14"/>
  <c r="AG104" i="14" s="1"/>
  <c r="AF27" i="14"/>
  <c r="AG27" i="14" s="1"/>
  <c r="AF47" i="14"/>
  <c r="AG47" i="14" s="1"/>
  <c r="AF54" i="14"/>
  <c r="AG54" i="14" s="1"/>
  <c r="AF23" i="14"/>
  <c r="AG23" i="14" s="1"/>
  <c r="AF216" i="14"/>
  <c r="AG216" i="14" s="1"/>
  <c r="AF178" i="14"/>
  <c r="AG178" i="14" s="1"/>
  <c r="AF251" i="14"/>
  <c r="AG251" i="14" s="1"/>
  <c r="AF249" i="14"/>
  <c r="AG249" i="14" s="1"/>
  <c r="AF143" i="14"/>
  <c r="AG143" i="14" s="1"/>
  <c r="AF129" i="14"/>
  <c r="AG129" i="14" s="1"/>
  <c r="AF123" i="14"/>
  <c r="AG123" i="14" s="1"/>
  <c r="AF68" i="14"/>
  <c r="AG68" i="14" s="1"/>
  <c r="AF38" i="14"/>
  <c r="AG38" i="14" s="1"/>
  <c r="AF176" i="14"/>
  <c r="AG176" i="14" s="1"/>
  <c r="AF157" i="14"/>
  <c r="AG157" i="14" s="1"/>
  <c r="AF65" i="14"/>
  <c r="AG65" i="14" s="1"/>
  <c r="AF175" i="14"/>
  <c r="AG175" i="14" s="1"/>
  <c r="AF245" i="14"/>
  <c r="AG245" i="14" s="1"/>
  <c r="AF141" i="14"/>
  <c r="AG141" i="14" s="1"/>
  <c r="AF224" i="14"/>
  <c r="AG224" i="14" s="1"/>
  <c r="AF242" i="14"/>
  <c r="AG242" i="14" s="1"/>
  <c r="AF57" i="14"/>
  <c r="AG57" i="14" s="1"/>
  <c r="AF126" i="14"/>
  <c r="AG126" i="14" s="1"/>
  <c r="AF192" i="14"/>
  <c r="AG192" i="14" s="1"/>
  <c r="AF164" i="14"/>
  <c r="AG164" i="14" s="1"/>
  <c r="AF87" i="14"/>
  <c r="AG87" i="14" s="1"/>
  <c r="AF144" i="14"/>
  <c r="AG144" i="14" s="1"/>
  <c r="AF93" i="14"/>
  <c r="AG93" i="14" s="1"/>
  <c r="AF139" i="14"/>
  <c r="AG139" i="14" s="1"/>
  <c r="AF40" i="14"/>
  <c r="AG40" i="14" s="1"/>
  <c r="AF147" i="14"/>
  <c r="AG147" i="14" s="1"/>
  <c r="AF149" i="14"/>
  <c r="AG149" i="14" s="1"/>
  <c r="AF227" i="14"/>
  <c r="AG227" i="14" s="1"/>
  <c r="AF191" i="14"/>
  <c r="AG191" i="14" s="1"/>
  <c r="AF134" i="14"/>
  <c r="AG134" i="14" s="1"/>
  <c r="AF202" i="14"/>
  <c r="AG202" i="14" s="1"/>
  <c r="AF180" i="14"/>
  <c r="AG180" i="14" s="1"/>
  <c r="AF213" i="14"/>
  <c r="AG213" i="14" s="1"/>
  <c r="AF98" i="14"/>
  <c r="AG98" i="14" s="1"/>
  <c r="AF51" i="14"/>
  <c r="AG51" i="14" s="1"/>
  <c r="AF169" i="14"/>
  <c r="AG169" i="14" s="1"/>
  <c r="AF59" i="14"/>
  <c r="AG59" i="14" s="1"/>
  <c r="AF207" i="14"/>
  <c r="AG207" i="14" s="1"/>
  <c r="AF236" i="14"/>
  <c r="AG236" i="14" s="1"/>
  <c r="AF244" i="14"/>
  <c r="AG244" i="14" s="1"/>
  <c r="AF170" i="14"/>
  <c r="AG170" i="14" s="1"/>
  <c r="AF108" i="14"/>
  <c r="AG108" i="14" s="1"/>
  <c r="AF220" i="14"/>
  <c r="AG220" i="14" s="1"/>
  <c r="AF11" i="14"/>
  <c r="AG11" i="14" s="1"/>
  <c r="AF85" i="14"/>
  <c r="AG85" i="14" s="1"/>
  <c r="AF3" i="14"/>
  <c r="AG3" i="14" s="1"/>
  <c r="AF18" i="14"/>
  <c r="AG18" i="14" s="1"/>
  <c r="AF204" i="14"/>
  <c r="AG204" i="14" s="1"/>
  <c r="AF193" i="14"/>
  <c r="AG193" i="14" s="1"/>
  <c r="AF181" i="14"/>
  <c r="AG181" i="14" s="1"/>
  <c r="AF119" i="14"/>
  <c r="AG119" i="14" s="1"/>
  <c r="AF25" i="14"/>
  <c r="AG25" i="14" s="1"/>
  <c r="AF105" i="14"/>
  <c r="AG105" i="14" s="1"/>
  <c r="AF90" i="14"/>
  <c r="AG90" i="14" s="1"/>
  <c r="AF67" i="14"/>
  <c r="AG67" i="14" s="1"/>
  <c r="AF39" i="14"/>
  <c r="AG39" i="14" s="1"/>
  <c r="AF166" i="14"/>
  <c r="AG166" i="14" s="1"/>
  <c r="AF114" i="14"/>
  <c r="AG114" i="14" s="1"/>
  <c r="AF159" i="14"/>
  <c r="AG159" i="14" s="1"/>
  <c r="AF113" i="14"/>
  <c r="AG113" i="14" s="1"/>
  <c r="AF106" i="14"/>
  <c r="AG106" i="14" s="1"/>
  <c r="AF79" i="14"/>
  <c r="AG79" i="14" s="1"/>
  <c r="AF13" i="14"/>
  <c r="AG13" i="14" s="1"/>
  <c r="AF132" i="14"/>
  <c r="AG132" i="14" s="1"/>
  <c r="AF36" i="14"/>
  <c r="AG36" i="14" s="1"/>
  <c r="AF78" i="14"/>
  <c r="AG78" i="14" s="1"/>
  <c r="AF83" i="14"/>
  <c r="AG83" i="14" s="1"/>
  <c r="AF89" i="14"/>
  <c r="AG89" i="14" s="1"/>
  <c r="AF95" i="14"/>
  <c r="AG95" i="14" s="1"/>
  <c r="AF185" i="14"/>
  <c r="AG185" i="14" s="1"/>
  <c r="AF203" i="14"/>
  <c r="AG203" i="14" s="1"/>
  <c r="AF163" i="14"/>
  <c r="AG163" i="14" s="1"/>
  <c r="AF160" i="14"/>
  <c r="AG160" i="14" s="1"/>
  <c r="AF115" i="14"/>
  <c r="AG115" i="14" s="1"/>
  <c r="AF100" i="14"/>
  <c r="AG100" i="14" s="1"/>
  <c r="AF112" i="14"/>
  <c r="AG112" i="14" s="1"/>
  <c r="AF121" i="14"/>
  <c r="AG121" i="14" s="1"/>
  <c r="AF233" i="14"/>
  <c r="AG233" i="14" s="1"/>
  <c r="AF219" i="14"/>
  <c r="AG219" i="14" s="1"/>
  <c r="AF148" i="14"/>
  <c r="AG148" i="14" s="1"/>
  <c r="AF53" i="14"/>
  <c r="AG53" i="14" s="1"/>
  <c r="AF29" i="14"/>
  <c r="AG29" i="14" s="1"/>
  <c r="AF125" i="14"/>
  <c r="AG125" i="14" s="1"/>
  <c r="AF15" i="14"/>
  <c r="AG15" i="14" s="1"/>
  <c r="AF2" i="14"/>
  <c r="AG2" i="14" s="1"/>
  <c r="AF171" i="14"/>
  <c r="AG171" i="14" s="1"/>
  <c r="AF234" i="14"/>
  <c r="AG234" i="14" s="1"/>
  <c r="AF140" i="14"/>
  <c r="AG140" i="14" s="1"/>
  <c r="AF168" i="14"/>
  <c r="AG168" i="14" s="1"/>
  <c r="AF9" i="14"/>
  <c r="AG9" i="14" s="1"/>
  <c r="AF128" i="14"/>
  <c r="AG128" i="14" s="1"/>
  <c r="AF75" i="14"/>
  <c r="AG75" i="14" s="1"/>
  <c r="AF64" i="14"/>
  <c r="AG64" i="14" s="1"/>
  <c r="AF127" i="14"/>
  <c r="AG127" i="14" s="1"/>
  <c r="AF158" i="14"/>
  <c r="AG158" i="14" s="1"/>
  <c r="AF161" i="14"/>
  <c r="AG161" i="14" s="1"/>
  <c r="AF197" i="14"/>
  <c r="AG197" i="14" s="1"/>
  <c r="AF122" i="14"/>
  <c r="AG122" i="14" s="1"/>
  <c r="AF76" i="14"/>
  <c r="AG76" i="14" s="1"/>
  <c r="AF102" i="14"/>
  <c r="AG102" i="14" s="1"/>
  <c r="AF10" i="14"/>
  <c r="AG10" i="14" s="1"/>
  <c r="AF156" i="14"/>
  <c r="AG156" i="14" s="1"/>
  <c r="AF184" i="14"/>
  <c r="AG184" i="14" s="1"/>
  <c r="AF50" i="14"/>
  <c r="AG50" i="14" s="1"/>
  <c r="AF62" i="14"/>
  <c r="AG62" i="14" s="1"/>
  <c r="AF196" i="14"/>
  <c r="AG196" i="14" s="1"/>
  <c r="AF212" i="14"/>
  <c r="AG212" i="14" s="1"/>
  <c r="AF201" i="14"/>
  <c r="AG201" i="14" s="1"/>
  <c r="AF118" i="14"/>
  <c r="AG118" i="14" s="1"/>
  <c r="AF30" i="14"/>
  <c r="AG30" i="14" s="1"/>
  <c r="AF66" i="14"/>
  <c r="AG66" i="14" s="1"/>
  <c r="AF137" i="14"/>
  <c r="AG137" i="14" s="1"/>
  <c r="AF71" i="14"/>
  <c r="AG71" i="14" s="1"/>
  <c r="AF116" i="14"/>
  <c r="AG116" i="14" s="1"/>
  <c r="AF154" i="14"/>
  <c r="AG154" i="14" s="1"/>
  <c r="AF246" i="14"/>
  <c r="AG246" i="14" s="1"/>
  <c r="AF211" i="14"/>
  <c r="AG211" i="14" s="1"/>
  <c r="AF243" i="14"/>
  <c r="AG243" i="14" s="1"/>
  <c r="AF111" i="14"/>
  <c r="AG111" i="14" s="1"/>
  <c r="AF152" i="14"/>
  <c r="AG152" i="14" s="1"/>
  <c r="AF183" i="14"/>
  <c r="AG183" i="14" s="1"/>
  <c r="AF172" i="14"/>
  <c r="AG172" i="14" s="1"/>
  <c r="AF190" i="14"/>
  <c r="AG190" i="14" s="1"/>
  <c r="AF12" i="14"/>
  <c r="AG12" i="14" s="1"/>
  <c r="AF63" i="14"/>
  <c r="AG63" i="14" s="1"/>
  <c r="AF41" i="14"/>
  <c r="AG41" i="14" s="1"/>
  <c r="AF31" i="14"/>
  <c r="AG31" i="14" s="1"/>
  <c r="AF52" i="14"/>
  <c r="AG52" i="14" s="1"/>
  <c r="AF42" i="14"/>
  <c r="AG42" i="14" s="1"/>
  <c r="AF17" i="14"/>
  <c r="AG17" i="14" s="1"/>
  <c r="AF43" i="14"/>
  <c r="AG43" i="14" s="1"/>
  <c r="AF19" i="14"/>
  <c r="AG19" i="14" s="1"/>
  <c r="AF24" i="14"/>
  <c r="AG24" i="14" s="1"/>
  <c r="AF86" i="14"/>
  <c r="AG86" i="14" s="1"/>
  <c r="AF26" i="14"/>
  <c r="AG26" i="1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<sst xmlns="http://schemas.openxmlformats.org/spreadsheetml/2006/main" count="3096" uniqueCount="674">
  <si>
    <t>Employee ID</t>
  </si>
  <si>
    <t>Name</t>
  </si>
  <si>
    <t>Department</t>
  </si>
  <si>
    <t>Benefit Plan</t>
  </si>
  <si>
    <t>Employee 1</t>
  </si>
  <si>
    <t>IT</t>
  </si>
  <si>
    <t>C</t>
  </si>
  <si>
    <t>Employee 2</t>
  </si>
  <si>
    <t>HR</t>
  </si>
  <si>
    <t>B</t>
  </si>
  <si>
    <t>Employee 3</t>
  </si>
  <si>
    <t>Finance</t>
  </si>
  <si>
    <t>Employee 4</t>
  </si>
  <si>
    <t>Employee 5</t>
  </si>
  <si>
    <t>Marketing</t>
  </si>
  <si>
    <t>Employee 6</t>
  </si>
  <si>
    <t>Employee 7</t>
  </si>
  <si>
    <t>Sales</t>
  </si>
  <si>
    <t>A</t>
  </si>
  <si>
    <t>Employee 8</t>
  </si>
  <si>
    <t>Employee 9</t>
  </si>
  <si>
    <t>Employee 10</t>
  </si>
  <si>
    <t>Employee 11</t>
  </si>
  <si>
    <t>Employee 12</t>
  </si>
  <si>
    <t>Employee 13</t>
  </si>
  <si>
    <t>Employee 14</t>
  </si>
  <si>
    <t>Employee 15</t>
  </si>
  <si>
    <t>Employee 16</t>
  </si>
  <si>
    <t>Employee 17</t>
  </si>
  <si>
    <t>Employee 18</t>
  </si>
  <si>
    <t>Employee 19</t>
  </si>
  <si>
    <t>Employee 20</t>
  </si>
  <si>
    <t>Employee 21</t>
  </si>
  <si>
    <t>Employee 22</t>
  </si>
  <si>
    <t>Employee 23</t>
  </si>
  <si>
    <t>Employee 24</t>
  </si>
  <si>
    <t>Employee 25</t>
  </si>
  <si>
    <t>Employee 26</t>
  </si>
  <si>
    <t>Employee 27</t>
  </si>
  <si>
    <t>Employee 28</t>
  </si>
  <si>
    <t>Employee 29</t>
  </si>
  <si>
    <t>Employee 30</t>
  </si>
  <si>
    <t>Operations</t>
  </si>
  <si>
    <t>Employee 31</t>
  </si>
  <si>
    <t>Employee 32</t>
  </si>
  <si>
    <t>Employee 33</t>
  </si>
  <si>
    <t>Employee 34</t>
  </si>
  <si>
    <t>Employee 35</t>
  </si>
  <si>
    <t>Employee 36</t>
  </si>
  <si>
    <t>Employee 37</t>
  </si>
  <si>
    <t>Employee 38</t>
  </si>
  <si>
    <t>Employee 39</t>
  </si>
  <si>
    <t>Employee 40</t>
  </si>
  <si>
    <t>Employee 41</t>
  </si>
  <si>
    <t>Employee 42</t>
  </si>
  <si>
    <t>Employee 43</t>
  </si>
  <si>
    <t>Employee 44</t>
  </si>
  <si>
    <t>Employee 45</t>
  </si>
  <si>
    <t>Employee 46</t>
  </si>
  <si>
    <t>Employee 47</t>
  </si>
  <si>
    <t>Employee 48</t>
  </si>
  <si>
    <t>Employee 49</t>
  </si>
  <si>
    <t>Employee 50</t>
  </si>
  <si>
    <t>Employee 51</t>
  </si>
  <si>
    <t>Employee 52</t>
  </si>
  <si>
    <t>Employee 53</t>
  </si>
  <si>
    <t>Employee 54</t>
  </si>
  <si>
    <t>Employee 55</t>
  </si>
  <si>
    <t>Employee 56</t>
  </si>
  <si>
    <t>Employee 57</t>
  </si>
  <si>
    <t>Employee 58</t>
  </si>
  <si>
    <t>Employee 59</t>
  </si>
  <si>
    <t>Employee 60</t>
  </si>
  <si>
    <t>Employee 61</t>
  </si>
  <si>
    <t>Employee 62</t>
  </si>
  <si>
    <t>Employee 63</t>
  </si>
  <si>
    <t>Employee 64</t>
  </si>
  <si>
    <t>Employee 65</t>
  </si>
  <si>
    <t>Employee 66</t>
  </si>
  <si>
    <t>Employee 67</t>
  </si>
  <si>
    <t>Employee 68</t>
  </si>
  <si>
    <t>Employee 69</t>
  </si>
  <si>
    <t>Employee 70</t>
  </si>
  <si>
    <t>Employee 71</t>
  </si>
  <si>
    <t>Employee 72</t>
  </si>
  <si>
    <t>Employee 73</t>
  </si>
  <si>
    <t>Employee 74</t>
  </si>
  <si>
    <t>Employee 75</t>
  </si>
  <si>
    <t>Employee 76</t>
  </si>
  <si>
    <t>Employee 77</t>
  </si>
  <si>
    <t>Employee 78</t>
  </si>
  <si>
    <t>Employee 79</t>
  </si>
  <si>
    <t>Employee 80</t>
  </si>
  <si>
    <t>Employee 81</t>
  </si>
  <si>
    <t>Employee 82</t>
  </si>
  <si>
    <t>Employee 83</t>
  </si>
  <si>
    <t>Employee 84</t>
  </si>
  <si>
    <t>Employee 85</t>
  </si>
  <si>
    <t>Employee 86</t>
  </si>
  <si>
    <t>Employee 87</t>
  </si>
  <si>
    <t>Employee 88</t>
  </si>
  <si>
    <t>Employee 89</t>
  </si>
  <si>
    <t>Employee 90</t>
  </si>
  <si>
    <t>Employee 91</t>
  </si>
  <si>
    <t>Employee 92</t>
  </si>
  <si>
    <t>Employee 93</t>
  </si>
  <si>
    <t>Employee 94</t>
  </si>
  <si>
    <t>Employee 95</t>
  </si>
  <si>
    <t>Employee 96</t>
  </si>
  <si>
    <t>Employee 97</t>
  </si>
  <si>
    <t>Employee 98</t>
  </si>
  <si>
    <t>Employee 99</t>
  </si>
  <si>
    <t>Employee 100</t>
  </si>
  <si>
    <t>Employee 101</t>
  </si>
  <si>
    <t>Employee 102</t>
  </si>
  <si>
    <t>Employee 103</t>
  </si>
  <si>
    <t>Employee 104</t>
  </si>
  <si>
    <t>Employee 105</t>
  </si>
  <si>
    <t>Employee 106</t>
  </si>
  <si>
    <t>Employee 107</t>
  </si>
  <si>
    <t>Employee 108</t>
  </si>
  <si>
    <t>Employee 109</t>
  </si>
  <si>
    <t>Employee 110</t>
  </si>
  <si>
    <t>Employee 111</t>
  </si>
  <si>
    <t>Employee 112</t>
  </si>
  <si>
    <t>Employee 113</t>
  </si>
  <si>
    <t>Employee 114</t>
  </si>
  <si>
    <t>Employee 115</t>
  </si>
  <si>
    <t>Employee 116</t>
  </si>
  <si>
    <t>Employee 117</t>
  </si>
  <si>
    <t>Employee 118</t>
  </si>
  <si>
    <t>Employee 119</t>
  </si>
  <si>
    <t>Employee 120</t>
  </si>
  <si>
    <t>Employee 121</t>
  </si>
  <si>
    <t>Employee 122</t>
  </si>
  <si>
    <t>Employee 123</t>
  </si>
  <si>
    <t>Employee 124</t>
  </si>
  <si>
    <t>Employee 125</t>
  </si>
  <si>
    <t>Employee 126</t>
  </si>
  <si>
    <t>Employee 127</t>
  </si>
  <si>
    <t>Employee 128</t>
  </si>
  <si>
    <t>Employee 129</t>
  </si>
  <si>
    <t>Employee 130</t>
  </si>
  <si>
    <t>Employee 131</t>
  </si>
  <si>
    <t>Employee 132</t>
  </si>
  <si>
    <t>Employee 133</t>
  </si>
  <si>
    <t>Employee 134</t>
  </si>
  <si>
    <t>Employee 135</t>
  </si>
  <si>
    <t>Employee 136</t>
  </si>
  <si>
    <t>Employee 137</t>
  </si>
  <si>
    <t>Employee 138</t>
  </si>
  <si>
    <t>Employee 139</t>
  </si>
  <si>
    <t>Employee 140</t>
  </si>
  <si>
    <t>Employee 141</t>
  </si>
  <si>
    <t>Employee 142</t>
  </si>
  <si>
    <t>Employee 143</t>
  </si>
  <si>
    <t>Employee 144</t>
  </si>
  <si>
    <t>Employee 145</t>
  </si>
  <si>
    <t>Employee 146</t>
  </si>
  <si>
    <t>Employee 147</t>
  </si>
  <si>
    <t>Employee 148</t>
  </si>
  <si>
    <t>Employee 149</t>
  </si>
  <si>
    <t>Employee 150</t>
  </si>
  <si>
    <t>Employee 151</t>
  </si>
  <si>
    <t>Employee 152</t>
  </si>
  <si>
    <t>Employee 153</t>
  </si>
  <si>
    <t>Employee 154</t>
  </si>
  <si>
    <t>Employee 155</t>
  </si>
  <si>
    <t>Employee 156</t>
  </si>
  <si>
    <t>Employee 157</t>
  </si>
  <si>
    <t>Employee 158</t>
  </si>
  <si>
    <t>Employee 159</t>
  </si>
  <si>
    <t>Employee 160</t>
  </si>
  <si>
    <t>Employee 161</t>
  </si>
  <si>
    <t>Employee 162</t>
  </si>
  <si>
    <t>Employee 163</t>
  </si>
  <si>
    <t>Employee 164</t>
  </si>
  <si>
    <t>Employee 165</t>
  </si>
  <si>
    <t>Employee 166</t>
  </si>
  <si>
    <t>Employee 167</t>
  </si>
  <si>
    <t>Employee 168</t>
  </si>
  <si>
    <t>Employee 169</t>
  </si>
  <si>
    <t>Employee 170</t>
  </si>
  <si>
    <t>Employee 171</t>
  </si>
  <si>
    <t>Employee 172</t>
  </si>
  <si>
    <t>Employee 173</t>
  </si>
  <si>
    <t>Employee 174</t>
  </si>
  <si>
    <t>Employee 175</t>
  </si>
  <si>
    <t>Employee 176</t>
  </si>
  <si>
    <t>Employee 177</t>
  </si>
  <si>
    <t>Employee 178</t>
  </si>
  <si>
    <t>Employee 179</t>
  </si>
  <si>
    <t>Employee 180</t>
  </si>
  <si>
    <t>Employee 181</t>
  </si>
  <si>
    <t>Employee 182</t>
  </si>
  <si>
    <t>Employee 183</t>
  </si>
  <si>
    <t>Employee 184</t>
  </si>
  <si>
    <t>Employee 185</t>
  </si>
  <si>
    <t>Employee 186</t>
  </si>
  <si>
    <t>Employee 187</t>
  </si>
  <si>
    <t>Employee 188</t>
  </si>
  <si>
    <t>Employee 189</t>
  </si>
  <si>
    <t>Employee 190</t>
  </si>
  <si>
    <t>Employee 191</t>
  </si>
  <si>
    <t>Employee 192</t>
  </si>
  <si>
    <t>Employee 193</t>
  </si>
  <si>
    <t>Employee 194</t>
  </si>
  <si>
    <t>Employee 195</t>
  </si>
  <si>
    <t>Employee 196</t>
  </si>
  <si>
    <t>Employee 197</t>
  </si>
  <si>
    <t>Employee 198</t>
  </si>
  <si>
    <t>Employee 199</t>
  </si>
  <si>
    <t>Employee 200</t>
  </si>
  <si>
    <t>Employee 201</t>
  </si>
  <si>
    <t>Employee 202</t>
  </si>
  <si>
    <t>Employee 203</t>
  </si>
  <si>
    <t>Employee 204</t>
  </si>
  <si>
    <t>Employee 205</t>
  </si>
  <si>
    <t>Employee 206</t>
  </si>
  <si>
    <t>Employee 207</t>
  </si>
  <si>
    <t>Employee 208</t>
  </si>
  <si>
    <t>Employee 209</t>
  </si>
  <si>
    <t>Employee 210</t>
  </si>
  <si>
    <t>Employee 211</t>
  </si>
  <si>
    <t>Employee 212</t>
  </si>
  <si>
    <t>Employee 213</t>
  </si>
  <si>
    <t>Employee 214</t>
  </si>
  <si>
    <t>Employee 215</t>
  </si>
  <si>
    <t>Employee 216</t>
  </si>
  <si>
    <t>Employee 217</t>
  </si>
  <si>
    <t>Employee 218</t>
  </si>
  <si>
    <t>Employee 219</t>
  </si>
  <si>
    <t>Employee 220</t>
  </si>
  <si>
    <t>Employee 221</t>
  </si>
  <si>
    <t>Employee 222</t>
  </si>
  <si>
    <t>Employee 223</t>
  </si>
  <si>
    <t>Employee 224</t>
  </si>
  <si>
    <t>Employee 225</t>
  </si>
  <si>
    <t>Employee 226</t>
  </si>
  <si>
    <t>Employee 227</t>
  </si>
  <si>
    <t>Employee 228</t>
  </si>
  <si>
    <t>Employee 229</t>
  </si>
  <si>
    <t>Employee 230</t>
  </si>
  <si>
    <t>Employee 231</t>
  </si>
  <si>
    <t>Employee 232</t>
  </si>
  <si>
    <t>Employee 233</t>
  </si>
  <si>
    <t>Employee 234</t>
  </si>
  <si>
    <t>Employee 235</t>
  </si>
  <si>
    <t>Employee 236</t>
  </si>
  <si>
    <t>Employee 237</t>
  </si>
  <si>
    <t>Employee 238</t>
  </si>
  <si>
    <t>Employee 239</t>
  </si>
  <si>
    <t>Employee 240</t>
  </si>
  <si>
    <t>Employee 241</t>
  </si>
  <si>
    <t>Employee 242</t>
  </si>
  <si>
    <t>Employee 243</t>
  </si>
  <si>
    <t>Employee 244</t>
  </si>
  <si>
    <t>Employee 245</t>
  </si>
  <si>
    <t>Employee 246</t>
  </si>
  <si>
    <t>Employee 247</t>
  </si>
  <si>
    <t>Employee 248</t>
  </si>
  <si>
    <t>Employee 249</t>
  </si>
  <si>
    <t>Employee 250</t>
  </si>
  <si>
    <t>Row Labels</t>
  </si>
  <si>
    <t>Grand Total</t>
  </si>
  <si>
    <t>Number of Employee</t>
  </si>
  <si>
    <t>Health Premium
(A/B/C)</t>
  </si>
  <si>
    <t>Total Deductions
(Tax+Pension+HP)</t>
  </si>
  <si>
    <t>Salary increase %</t>
  </si>
  <si>
    <t>Salary increase Amount</t>
  </si>
  <si>
    <t>New Gross Salary</t>
  </si>
  <si>
    <t>Title</t>
  </si>
  <si>
    <t>Recruitment Date</t>
  </si>
  <si>
    <t>Performance Manager</t>
  </si>
  <si>
    <t>Country</t>
  </si>
  <si>
    <t>Pension 
(New Gross Salary*5%)</t>
  </si>
  <si>
    <t>Manager 1</t>
  </si>
  <si>
    <t>Manager 2</t>
  </si>
  <si>
    <t>Manager 3</t>
  </si>
  <si>
    <t>Manager 4</t>
  </si>
  <si>
    <t>Manager 5</t>
  </si>
  <si>
    <t>Manager 6</t>
  </si>
  <si>
    <t>Manager 7</t>
  </si>
  <si>
    <t>Manager 8</t>
  </si>
  <si>
    <t>Manager 9</t>
  </si>
  <si>
    <t>Manager 10</t>
  </si>
  <si>
    <t>Manager 11</t>
  </si>
  <si>
    <t>Manager 12</t>
  </si>
  <si>
    <t>Manager 13</t>
  </si>
  <si>
    <t>Manager 14</t>
  </si>
  <si>
    <t>Manager 15</t>
  </si>
  <si>
    <t>Manager 16</t>
  </si>
  <si>
    <t>Manager 17</t>
  </si>
  <si>
    <t>Manager 18</t>
  </si>
  <si>
    <t>Manager 19</t>
  </si>
  <si>
    <t>Manager 20</t>
  </si>
  <si>
    <t>Manager 21</t>
  </si>
  <si>
    <t>Manager 22</t>
  </si>
  <si>
    <t>Manager 23</t>
  </si>
  <si>
    <t>Manager 24</t>
  </si>
  <si>
    <t>Manager 25</t>
  </si>
  <si>
    <t>Manager 26</t>
  </si>
  <si>
    <t>Manager 27</t>
  </si>
  <si>
    <t>Manager 28</t>
  </si>
  <si>
    <t>Manager 29</t>
  </si>
  <si>
    <t>Manager 30</t>
  </si>
  <si>
    <t>Manager 31</t>
  </si>
  <si>
    <t>Manager 32</t>
  </si>
  <si>
    <t>Manager 33</t>
  </si>
  <si>
    <t>Manager 34</t>
  </si>
  <si>
    <t>Manager 35</t>
  </si>
  <si>
    <t>Manager 36</t>
  </si>
  <si>
    <t>Manager 37</t>
  </si>
  <si>
    <t>Manager 38</t>
  </si>
  <si>
    <t>Manager 39</t>
  </si>
  <si>
    <t>Manager 40</t>
  </si>
  <si>
    <t>Manager 41</t>
  </si>
  <si>
    <t>Manager 42</t>
  </si>
  <si>
    <t>Manager 43</t>
  </si>
  <si>
    <t>Manager 44</t>
  </si>
  <si>
    <t>Manager 45</t>
  </si>
  <si>
    <t>Manager 46</t>
  </si>
  <si>
    <t>Manager 47</t>
  </si>
  <si>
    <t>Manager 48</t>
  </si>
  <si>
    <t>Manager 49</t>
  </si>
  <si>
    <t>Manager 50</t>
  </si>
  <si>
    <t>Manager 51</t>
  </si>
  <si>
    <t>Manager 52</t>
  </si>
  <si>
    <t>Manager 53</t>
  </si>
  <si>
    <t>Manager 54</t>
  </si>
  <si>
    <t>Manager 55</t>
  </si>
  <si>
    <t>Manager 56</t>
  </si>
  <si>
    <t>Manager 57</t>
  </si>
  <si>
    <t>Manager 58</t>
  </si>
  <si>
    <t>Manager 59</t>
  </si>
  <si>
    <t>Manager 60</t>
  </si>
  <si>
    <t>Manager 61</t>
  </si>
  <si>
    <t>Manager 62</t>
  </si>
  <si>
    <t>Manager 63</t>
  </si>
  <si>
    <t>Manager 64</t>
  </si>
  <si>
    <t>Manager 65</t>
  </si>
  <si>
    <t>Manager 66</t>
  </si>
  <si>
    <t>Manager 67</t>
  </si>
  <si>
    <t>Manager 68</t>
  </si>
  <si>
    <t>Manager 69</t>
  </si>
  <si>
    <t>Manager 70</t>
  </si>
  <si>
    <t>Manager 71</t>
  </si>
  <si>
    <t>Manager 72</t>
  </si>
  <si>
    <t>Manager 73</t>
  </si>
  <si>
    <t>Manager 74</t>
  </si>
  <si>
    <t>Manager 75</t>
  </si>
  <si>
    <t>Manager 76</t>
  </si>
  <si>
    <t>Manager 77</t>
  </si>
  <si>
    <t>Manager 78</t>
  </si>
  <si>
    <t>Manager 79</t>
  </si>
  <si>
    <t>Manager 80</t>
  </si>
  <si>
    <t>Manager 81</t>
  </si>
  <si>
    <t>Manager 82</t>
  </si>
  <si>
    <t>Manager 83</t>
  </si>
  <si>
    <t>Manager 84</t>
  </si>
  <si>
    <t>Manager 85</t>
  </si>
  <si>
    <t>Manager 86</t>
  </si>
  <si>
    <t>Manager 87</t>
  </si>
  <si>
    <t>Manager 88</t>
  </si>
  <si>
    <t>Manager 89</t>
  </si>
  <si>
    <t>Manager 90</t>
  </si>
  <si>
    <t>Manager 91</t>
  </si>
  <si>
    <t>Manager 92</t>
  </si>
  <si>
    <t>Manager 93</t>
  </si>
  <si>
    <t>Manager 94</t>
  </si>
  <si>
    <t>Manager 95</t>
  </si>
  <si>
    <t>Manager 96</t>
  </si>
  <si>
    <t>Manager 97</t>
  </si>
  <si>
    <t>Manager 98</t>
  </si>
  <si>
    <t>Manager 99</t>
  </si>
  <si>
    <t>Manager 100</t>
  </si>
  <si>
    <t>Manager 101</t>
  </si>
  <si>
    <t>Manager 102</t>
  </si>
  <si>
    <t>Manager 103</t>
  </si>
  <si>
    <t>Manager 104</t>
  </si>
  <si>
    <t>Manager 105</t>
  </si>
  <si>
    <t>Manager 106</t>
  </si>
  <si>
    <t>Manager 107</t>
  </si>
  <si>
    <t>Manager 108</t>
  </si>
  <si>
    <t>Manager 109</t>
  </si>
  <si>
    <t>Manager 110</t>
  </si>
  <si>
    <t>Manager 111</t>
  </si>
  <si>
    <t>Manager 112</t>
  </si>
  <si>
    <t>Manager 113</t>
  </si>
  <si>
    <t>Manager 114</t>
  </si>
  <si>
    <t>Manager 115</t>
  </si>
  <si>
    <t>Manager 116</t>
  </si>
  <si>
    <t>Manager 117</t>
  </si>
  <si>
    <t>Manager 118</t>
  </si>
  <si>
    <t>Manager 119</t>
  </si>
  <si>
    <t>Manager 120</t>
  </si>
  <si>
    <t>Manager 121</t>
  </si>
  <si>
    <t>Manager 122</t>
  </si>
  <si>
    <t>Manager 123</t>
  </si>
  <si>
    <t>Manager 124</t>
  </si>
  <si>
    <t>Manager 125</t>
  </si>
  <si>
    <t>Manager 126</t>
  </si>
  <si>
    <t>Manager 127</t>
  </si>
  <si>
    <t>Manager 128</t>
  </si>
  <si>
    <t>Manager 129</t>
  </si>
  <si>
    <t>Manager 130</t>
  </si>
  <si>
    <t>Manager 131</t>
  </si>
  <si>
    <t>Manager 132</t>
  </si>
  <si>
    <t>Manager 133</t>
  </si>
  <si>
    <t>Manager 134</t>
  </si>
  <si>
    <t>Manager 135</t>
  </si>
  <si>
    <t>Manager 136</t>
  </si>
  <si>
    <t>Manager 137</t>
  </si>
  <si>
    <t>Manager 138</t>
  </si>
  <si>
    <t>Manager 139</t>
  </si>
  <si>
    <t>Manager 140</t>
  </si>
  <si>
    <t>Manager 141</t>
  </si>
  <si>
    <t>Manager 142</t>
  </si>
  <si>
    <t>Manager 143</t>
  </si>
  <si>
    <t>Manager 144</t>
  </si>
  <si>
    <t>Manager 145</t>
  </si>
  <si>
    <t>Manager 146</t>
  </si>
  <si>
    <t>Manager 147</t>
  </si>
  <si>
    <t>Manager 148</t>
  </si>
  <si>
    <t>Manager 149</t>
  </si>
  <si>
    <t>Manager 150</t>
  </si>
  <si>
    <t>Manager 151</t>
  </si>
  <si>
    <t>Manager 152</t>
  </si>
  <si>
    <t>Manager 153</t>
  </si>
  <si>
    <t>Manager 154</t>
  </si>
  <si>
    <t>Manager 155</t>
  </si>
  <si>
    <t>Manager 156</t>
  </si>
  <si>
    <t>Manager 157</t>
  </si>
  <si>
    <t>Manager 158</t>
  </si>
  <si>
    <t>Manager 159</t>
  </si>
  <si>
    <t>Manager 160</t>
  </si>
  <si>
    <t>Manager 161</t>
  </si>
  <si>
    <t>Manager 162</t>
  </si>
  <si>
    <t>Manager 163</t>
  </si>
  <si>
    <t>Manager 164</t>
  </si>
  <si>
    <t>Manager 165</t>
  </si>
  <si>
    <t>Manager 166</t>
  </si>
  <si>
    <t>Manager 167</t>
  </si>
  <si>
    <t>Manager 168</t>
  </si>
  <si>
    <t>Manager 169</t>
  </si>
  <si>
    <t>Manager 170</t>
  </si>
  <si>
    <t>Manager 171</t>
  </si>
  <si>
    <t>Manager 172</t>
  </si>
  <si>
    <t>Manager 173</t>
  </si>
  <si>
    <t>Manager 174</t>
  </si>
  <si>
    <t>Manager 175</t>
  </si>
  <si>
    <t>Manager 176</t>
  </si>
  <si>
    <t>Manager 177</t>
  </si>
  <si>
    <t>Manager 178</t>
  </si>
  <si>
    <t>Manager 179</t>
  </si>
  <si>
    <t>Manager 180</t>
  </si>
  <si>
    <t>Manager 181</t>
  </si>
  <si>
    <t>Manager 182</t>
  </si>
  <si>
    <t>Manager 183</t>
  </si>
  <si>
    <t>Manager 184</t>
  </si>
  <si>
    <t>Manager 185</t>
  </si>
  <si>
    <t>Manager 186</t>
  </si>
  <si>
    <t>Manager 187</t>
  </si>
  <si>
    <t>Manager 188</t>
  </si>
  <si>
    <t>Manager 189</t>
  </si>
  <si>
    <t>Manager 190</t>
  </si>
  <si>
    <t>Manager 191</t>
  </si>
  <si>
    <t>Manager 192</t>
  </si>
  <si>
    <t>Manager 193</t>
  </si>
  <si>
    <t>Manager 194</t>
  </si>
  <si>
    <t>Manager 195</t>
  </si>
  <si>
    <t>Manager 196</t>
  </si>
  <si>
    <t>Manager 197</t>
  </si>
  <si>
    <t>Manager 198</t>
  </si>
  <si>
    <t>Manager 199</t>
  </si>
  <si>
    <t>Manager 200</t>
  </si>
  <si>
    <t>Manager 201</t>
  </si>
  <si>
    <t>Manager 202</t>
  </si>
  <si>
    <t>Manager 203</t>
  </si>
  <si>
    <t>Manager 204</t>
  </si>
  <si>
    <t>Manager 205</t>
  </si>
  <si>
    <t>Manager 206</t>
  </si>
  <si>
    <t>Manager 207</t>
  </si>
  <si>
    <t>Manager 208</t>
  </si>
  <si>
    <t>Manager 209</t>
  </si>
  <si>
    <t>Manager 210</t>
  </si>
  <si>
    <t>Manager 211</t>
  </si>
  <si>
    <t>Manager 212</t>
  </si>
  <si>
    <t>Manager 213</t>
  </si>
  <si>
    <t>Manager 214</t>
  </si>
  <si>
    <t>Manager 215</t>
  </si>
  <si>
    <t>Manager 216</t>
  </si>
  <si>
    <t>Manager 217</t>
  </si>
  <si>
    <t>Manager 218</t>
  </si>
  <si>
    <t>Manager 219</t>
  </si>
  <si>
    <t>Manager 220</t>
  </si>
  <si>
    <t>Manager 221</t>
  </si>
  <si>
    <t>Manager 222</t>
  </si>
  <si>
    <t>Manager 223</t>
  </si>
  <si>
    <t>Manager 224</t>
  </si>
  <si>
    <t>Manager 225</t>
  </si>
  <si>
    <t>Manager 226</t>
  </si>
  <si>
    <t>Manager 227</t>
  </si>
  <si>
    <t>Manager 228</t>
  </si>
  <si>
    <t>Manager 229</t>
  </si>
  <si>
    <t>Manager 230</t>
  </si>
  <si>
    <t>Manager 231</t>
  </si>
  <si>
    <t>Manager 232</t>
  </si>
  <si>
    <t>Manager 233</t>
  </si>
  <si>
    <t>Manager 235</t>
  </si>
  <si>
    <t>Manager 236</t>
  </si>
  <si>
    <t>Manager 237</t>
  </si>
  <si>
    <t>Manager 238</t>
  </si>
  <si>
    <t>Manager 239</t>
  </si>
  <si>
    <t>Manager 240</t>
  </si>
  <si>
    <t>Manager 241</t>
  </si>
  <si>
    <t>Manager 242</t>
  </si>
  <si>
    <t>Manager 243</t>
  </si>
  <si>
    <t>Manager 244</t>
  </si>
  <si>
    <t>Manager 248</t>
  </si>
  <si>
    <t>Sweden</t>
  </si>
  <si>
    <t>Unit / Location</t>
  </si>
  <si>
    <t>Malmö</t>
  </si>
  <si>
    <t>Stockholm</t>
  </si>
  <si>
    <t>Göteborg</t>
  </si>
  <si>
    <t>Linköping</t>
  </si>
  <si>
    <t>Örebro</t>
  </si>
  <si>
    <t>Umeå</t>
  </si>
  <si>
    <t>Finance Specialist</t>
  </si>
  <si>
    <t>Finance Manager</t>
  </si>
  <si>
    <t>CFO</t>
  </si>
  <si>
    <t>Financial Analyst</t>
  </si>
  <si>
    <t>Level 4</t>
  </si>
  <si>
    <t>Level 2</t>
  </si>
  <si>
    <t>Senior Finance Specialist</t>
  </si>
  <si>
    <t>Level 3</t>
  </si>
  <si>
    <t>G5</t>
  </si>
  <si>
    <t>G6</t>
  </si>
  <si>
    <t>G7</t>
  </si>
  <si>
    <t>G8</t>
  </si>
  <si>
    <t>G9</t>
  </si>
  <si>
    <t>G10</t>
  </si>
  <si>
    <t>HR Specialist</t>
  </si>
  <si>
    <t>HR Manager</t>
  </si>
  <si>
    <t>HRBP</t>
  </si>
  <si>
    <t>Senior HR Specialist</t>
  </si>
  <si>
    <t>CHRO</t>
  </si>
  <si>
    <t>Level 8</t>
  </si>
  <si>
    <t>IT Specialist</t>
  </si>
  <si>
    <t>Senior IT Specialist</t>
  </si>
  <si>
    <t>IT Manager</t>
  </si>
  <si>
    <t>Head of IT</t>
  </si>
  <si>
    <t>Marketing Specialist</t>
  </si>
  <si>
    <t>Marketing Manager</t>
  </si>
  <si>
    <t>Head of Marketing</t>
  </si>
  <si>
    <t>Operations Specialist</t>
  </si>
  <si>
    <t>Operations Manager</t>
  </si>
  <si>
    <t>Head of Operations</t>
  </si>
  <si>
    <t>Sales Specialist</t>
  </si>
  <si>
    <t>Sales Manager</t>
  </si>
  <si>
    <t>Senior Sales Specialist</t>
  </si>
  <si>
    <t>Head of Sales</t>
  </si>
  <si>
    <t>Job Grade</t>
  </si>
  <si>
    <t>Min</t>
  </si>
  <si>
    <t>Mid</t>
  </si>
  <si>
    <t>Max</t>
  </si>
  <si>
    <t>CEO</t>
  </si>
  <si>
    <t>Compa-Ratio Group</t>
  </si>
  <si>
    <t>Compa_Ratio
(GrossSalary/Mid)</t>
  </si>
  <si>
    <t>Monthly Gross Salary</t>
  </si>
  <si>
    <t>Band Min</t>
  </si>
  <si>
    <t>Band Max</t>
  </si>
  <si>
    <t>IT Specialist, Finance Specialist, Marketing Specialist, Sales Specialist, Operations Specialist</t>
  </si>
  <si>
    <t>HR Specialist, Financial Analyst</t>
  </si>
  <si>
    <t>Senior IT Specialist, Senior Finance Specialist, Senior HR Specialist, Senior Sales Specialist, HRBP</t>
  </si>
  <si>
    <t>Finance Manager, Sales Manager, Operations Manager, (some) HR Manager</t>
  </si>
  <si>
    <t>HR Manager, IT Manager, Marketing Manager, Finance Manager (higher), (some) “High” compa cases</t>
  </si>
  <si>
    <t>Head of Sales, Head of Marketing, Head of Operations, CFO, CHRO, Head of IT</t>
  </si>
  <si>
    <t>Job Level</t>
  </si>
  <si>
    <t>Internal Title</t>
  </si>
  <si>
    <t>Typical Scope</t>
  </si>
  <si>
    <t>Survey Career Level</t>
  </si>
  <si>
    <t>Survey Job Family</t>
  </si>
  <si>
    <t>People Mgmt</t>
  </si>
  <si>
    <t>Match Confidence</t>
  </si>
  <si>
    <t>Individual contributor</t>
  </si>
  <si>
    <t>P2 – Professional</t>
  </si>
  <si>
    <t>Information Technology</t>
  </si>
  <si>
    <t>No</t>
  </si>
  <si>
    <t>High</t>
  </si>
  <si>
    <t>Experienced specialist</t>
  </si>
  <si>
    <t>P2 / P3 Professional</t>
  </si>
  <si>
    <t>Human Resources</t>
  </si>
  <si>
    <t>Analytical contributor</t>
  </si>
  <si>
    <t>Senior expert</t>
  </si>
  <si>
    <t>P3 – Senior Professional</t>
  </si>
  <si>
    <t>Strategic advisor</t>
  </si>
  <si>
    <t>Medium–High</t>
  </si>
  <si>
    <t>First-line manager</t>
  </si>
  <si>
    <t>M1 – Manager I</t>
  </si>
  <si>
    <t>Yes</t>
  </si>
  <si>
    <t>Functional manager</t>
  </si>
  <si>
    <t>M2 – Manager II</t>
  </si>
  <si>
    <t>Function head</t>
  </si>
  <si>
    <t>Director / Executive</t>
  </si>
  <si>
    <t>Executive leadership</t>
  </si>
  <si>
    <t>Executive / C-Level</t>
  </si>
  <si>
    <t>Performance</t>
  </si>
  <si>
    <t>Very Low</t>
  </si>
  <si>
    <t>Below Mid</t>
  </si>
  <si>
    <t>Around Mid</t>
  </si>
  <si>
    <t>Above Mid</t>
  </si>
  <si>
    <t>MERIT MATRIX</t>
  </si>
  <si>
    <t>(All)</t>
  </si>
  <si>
    <t>Roles in the pay table</t>
  </si>
  <si>
    <t>SALARY BAND STRUCTURE</t>
  </si>
  <si>
    <t>Market Benchmarking Methodology (Mercer)</t>
  </si>
  <si>
    <t>Average Gross Salary (2026)</t>
  </si>
  <si>
    <t>Sum of Gross Salary (2025)</t>
  </si>
  <si>
    <t>Sum of Gross Salary (2026)</t>
  </si>
  <si>
    <t>Average Gross Salary (2025)</t>
  </si>
  <si>
    <t>Sum of % Budget Increase</t>
  </si>
  <si>
    <r>
      <rPr>
        <b/>
        <sz val="12"/>
        <color theme="1"/>
        <rFont val="Calibri"/>
        <family val="2"/>
        <scheme val="minor"/>
      </rPr>
      <t xml:space="preserve">Purpose: </t>
    </r>
    <r>
      <rPr>
        <sz val="12"/>
        <color theme="1"/>
        <rFont val="Calibri"/>
        <family val="2"/>
        <scheme val="minor"/>
      </rPr>
      <t xml:space="preserve">Creating a consistent “job matching” logic so internal roles can be benchmarked against an external survey framework (Mercer-style leveling).
</t>
    </r>
    <r>
      <rPr>
        <b/>
        <sz val="12"/>
        <color theme="1"/>
        <rFont val="Calibri"/>
        <family val="2"/>
        <scheme val="minor"/>
      </rPr>
      <t>What was done (column by column):</t>
    </r>
    <r>
      <rPr>
        <sz val="12"/>
        <color theme="1"/>
        <rFont val="Calibri"/>
        <family val="2"/>
        <scheme val="minor"/>
      </rPr>
      <t xml:space="preserve">
Internal Title: The company’s internal role names (e.g., IT Specialist, HRBP, CFO).
Department: Which function the role belongs to (IT, Finance, HR, etc.).
Job Level: Internal career level (Level 2 / 3 / 4 / 8).
Job Grade: Internal pay grade (G5–G10). Each job level maps to one grade banding logic (but Level 4 can map to G8 or G9 depending on scope).
Typical Scope: Narrative scope (IC / senior expert / first-line manager / functional manager / function head / executive). Scope is used to decide survey career level.
Survey Career Level: External benchmark level proxy
Survey Job Family: Mercer family equivalent (IT, Finance, HR, etc.).
People Mgmt (Yes/No): Whether role manages people. Used to distinguish manager levels (M1/M2).
Match Confidence: High / Medium–High to signal how “clean” the match is. HRBP is “Medium–High” because it can vary widely by company scope.</t>
    </r>
  </si>
  <si>
    <r>
      <rPr>
        <b/>
        <sz val="12"/>
        <color theme="1"/>
        <rFont val="Calibri"/>
        <family val="2"/>
        <scheme val="minor"/>
      </rPr>
      <t>Purpose:</t>
    </r>
    <r>
      <rPr>
        <sz val="12"/>
        <color theme="1"/>
        <rFont val="Calibri"/>
        <family val="2"/>
        <scheme val="minor"/>
      </rPr>
      <t xml:space="preserve"> Define the company’s internal pay bands used to calculate compa-ratio and guide increases.
</t>
    </r>
    <r>
      <rPr>
        <b/>
        <sz val="12"/>
        <color theme="1"/>
        <rFont val="Calibri"/>
        <family val="2"/>
        <scheme val="minor"/>
      </rPr>
      <t>What was done (column by column)</t>
    </r>
    <r>
      <rPr>
        <sz val="12"/>
        <color theme="1"/>
        <rFont val="Calibri"/>
        <family val="2"/>
        <scheme val="minor"/>
      </rPr>
      <t xml:space="preserve">
Job Grade: G5–G10 (matches Table 1).
Job Level: The internal level tied to that grade.
Roles in the pay table: Which internal titles sit in each grade. Multiple jobs can share the same grade if market level/scope is similar.
Band Min / Band Mid / Band Max: The pay range values (monthly SEK).
Mid = target market reference; Min/Max create a range around it.
Range (Min→Max): Spread percentage to show how wide the band is. Higher grades have wider ranges due to pay variability.
Output of the Table:
A grade-based structure such as,
G5: 30k–40k, midpoint 35k
G10: much wider range, midpoint ~95k</t>
    </r>
  </si>
  <si>
    <r>
      <rPr>
        <b/>
        <sz val="12"/>
        <color theme="1"/>
        <rFont val="Calibri"/>
        <family val="2"/>
        <scheme val="minor"/>
      </rPr>
      <t>Pivot Summary:</t>
    </r>
    <r>
      <rPr>
        <sz val="12"/>
        <color theme="1"/>
        <rFont val="Calibri"/>
        <family val="2"/>
        <scheme val="minor"/>
      </rPr>
      <t xml:space="preserve">
The pivot table provides a structured overview of salary movement following the merit cycle. 
This structure enables analysis of both individual salary progression (performance-based differentiation) and overall payroll impact (budget control perspective).
It summarizes:
-Headcount by department and performance rating
-Average Gross Salary (2025 vs. 2026)
-Total Payroll Before and After Merit
-Budget Increase % at both department and company level
</t>
    </r>
    <r>
      <rPr>
        <b/>
        <sz val="12"/>
        <color theme="1"/>
        <rFont val="Calibri"/>
        <family val="2"/>
        <scheme val="minor"/>
      </rPr>
      <t>Chart Summary:</t>
    </r>
    <r>
      <rPr>
        <sz val="12"/>
        <color theme="1"/>
        <rFont val="Calibri"/>
        <family val="2"/>
        <scheme val="minor"/>
      </rPr>
      <t xml:space="preserve">
Salary movement before and after the merit cycle
Payroll distribution across departments
Relative cost impact of performance levels</t>
    </r>
  </si>
  <si>
    <t>Range 1 (Min→Mid)</t>
  </si>
  <si>
    <t>Range 2 (Mid→Max)</t>
  </si>
  <si>
    <t>Total Range (Min→Max)</t>
  </si>
  <si>
    <t>Senior Market Specialist</t>
  </si>
  <si>
    <t>Proposed Merit Increase %</t>
  </si>
  <si>
    <t>AVERAGE INCREASE PER EMPLOYEE</t>
  </si>
  <si>
    <t>Control Table</t>
  </si>
  <si>
    <t>Desired Budget %</t>
  </si>
  <si>
    <t>Desired Budget POT</t>
  </si>
  <si>
    <t>TOTAL MERIT SPEND %</t>
  </si>
  <si>
    <t>TOTAL MERIT SPEND</t>
  </si>
  <si>
    <r>
      <rPr>
        <b/>
        <sz val="20"/>
        <color theme="1"/>
        <rFont val="Calibri (Body)"/>
      </rPr>
      <t xml:space="preserve">STAGE 1
</t>
    </r>
    <r>
      <rPr>
        <b/>
        <sz val="11"/>
        <color theme="1"/>
        <rFont val="Calibri"/>
        <family val="2"/>
        <scheme val="minor"/>
      </rPr>
      <t xml:space="preserve">
</t>
    </r>
    <r>
      <rPr>
        <b/>
        <sz val="14"/>
        <color theme="1"/>
        <rFont val="Calibri (Body)"/>
      </rPr>
      <t>A) Employee + job info (input columns)</t>
    </r>
    <r>
      <rPr>
        <b/>
        <sz val="11"/>
        <color theme="1"/>
        <rFont val="Calibri"/>
        <family val="2"/>
        <scheme val="minor"/>
      </rPr>
      <t xml:space="preserve">
</t>
    </r>
    <r>
      <rPr>
        <sz val="11"/>
        <color theme="1"/>
        <rFont val="Calibri"/>
        <family val="2"/>
        <scheme val="minor"/>
      </rPr>
      <t>Employee ID / Name
Department / Title
Recruitment Date
Performance Manager
Unit / Location
Country
Job Level
Job Grade</t>
    </r>
    <r>
      <rPr>
        <b/>
        <sz val="11"/>
        <color theme="1"/>
        <rFont val="Calibri"/>
        <family val="2"/>
        <scheme val="minor"/>
      </rPr>
      <t xml:space="preserve">
Assumption: </t>
    </r>
    <r>
      <rPr>
        <sz val="11"/>
        <color theme="1"/>
        <rFont val="Calibri"/>
        <family val="2"/>
        <scheme val="minor"/>
      </rPr>
      <t>Job grade is already decided via job architecture (Table 1).</t>
    </r>
  </si>
  <si>
    <r>
      <rPr>
        <b/>
        <sz val="20"/>
        <color theme="1"/>
        <rFont val="Calibri (Body)"/>
      </rPr>
      <t>STAGE 3</t>
    </r>
    <r>
      <rPr>
        <sz val="11"/>
        <color theme="1"/>
        <rFont val="Calibri"/>
        <family val="2"/>
        <scheme val="minor"/>
      </rPr>
      <t xml:space="preserve">
</t>
    </r>
    <r>
      <rPr>
        <b/>
        <sz val="14"/>
        <color theme="1"/>
        <rFont val="Calibri (Body)"/>
      </rPr>
      <t>E) Merit increase lookup (uses Table 3)</t>
    </r>
    <r>
      <rPr>
        <sz val="11"/>
        <color theme="1"/>
        <rFont val="Calibri"/>
        <family val="2"/>
        <scheme val="minor"/>
      </rPr>
      <t xml:space="preserve">
Salary increase %: 2D lookup
(Performance row, Compa group column) → %
Salary increase Amount:
Monthly Gross Salary × Salary increase %
New Gross Salary:
Monthly Gross Salary + Salary increase Amount
Assumption: No promotions/adjustments outside merit matrix.</t>
    </r>
  </si>
  <si>
    <t>Summary of Employee Dataset</t>
  </si>
  <si>
    <t>Band Mid
(refer to mercer)</t>
  </si>
  <si>
    <r>
      <rPr>
        <b/>
        <sz val="20"/>
        <color theme="1"/>
        <rFont val="Calibri (Body)"/>
      </rPr>
      <t>STAGE 2</t>
    </r>
    <r>
      <rPr>
        <b/>
        <sz val="11"/>
        <color theme="1"/>
        <rFont val="Calibri"/>
        <family val="2"/>
        <scheme val="minor"/>
      </rPr>
      <t xml:space="preserve">
</t>
    </r>
    <r>
      <rPr>
        <b/>
        <sz val="14"/>
        <color theme="1"/>
        <rFont val="Calibri (Body)"/>
      </rPr>
      <t>B) Current salary + bring pay band values</t>
    </r>
    <r>
      <rPr>
        <b/>
        <sz val="11"/>
        <color theme="1"/>
        <rFont val="Calibri"/>
        <family val="2"/>
        <scheme val="minor"/>
      </rPr>
      <t xml:space="preserve">
</t>
    </r>
    <r>
      <rPr>
        <sz val="11"/>
        <color theme="1"/>
        <rFont val="Calibri"/>
        <family val="2"/>
        <scheme val="minor"/>
      </rPr>
      <t xml:space="preserve">Monthly Gross Salary (2025): current base salary (monthly SEK)
Min / Mid / Max: pulled from Table 2 using Job Grade
Assumption: one band per grade for all employees.
</t>
    </r>
    <r>
      <rPr>
        <b/>
        <sz val="11"/>
        <color theme="1"/>
        <rFont val="Calibri"/>
        <family val="2"/>
        <scheme val="minor"/>
      </rPr>
      <t xml:space="preserve">
</t>
    </r>
    <r>
      <rPr>
        <b/>
        <sz val="14"/>
        <color theme="1"/>
        <rFont val="Calibri (Body)"/>
      </rPr>
      <t>C) Compa-ratio calculations</t>
    </r>
    <r>
      <rPr>
        <b/>
        <sz val="11"/>
        <color theme="1"/>
        <rFont val="Calibri"/>
        <family val="2"/>
        <scheme val="minor"/>
      </rPr>
      <t xml:space="preserve">
</t>
    </r>
    <r>
      <rPr>
        <sz val="11"/>
        <color theme="1"/>
        <rFont val="Calibri"/>
        <family val="2"/>
        <scheme val="minor"/>
      </rPr>
      <t xml:space="preserve">Compa_Ratio (GrossSalary/Mid)
Compa-Ratio Group: bucket assignment from compa-ratio.
Compa Group Thresholds:
Very Low: &lt;0.85
Below Mid: 0.85–0.95
Around Mid: 0.95–1.05
Above Mid: 1.05–1.15
High: ≥1.15
Assumption: Thresholds are fixed for demo and apply equally across grades.
</t>
    </r>
    <r>
      <rPr>
        <b/>
        <sz val="11"/>
        <color theme="1"/>
        <rFont val="Calibri"/>
        <family val="2"/>
        <scheme val="minor"/>
      </rPr>
      <t xml:space="preserve">
</t>
    </r>
    <r>
      <rPr>
        <b/>
        <sz val="14"/>
        <color theme="1"/>
        <rFont val="Calibri (Body)"/>
      </rPr>
      <t>D) Performance input</t>
    </r>
    <r>
      <rPr>
        <sz val="11"/>
        <color theme="1"/>
        <rFont val="Calibri"/>
        <family val="2"/>
        <scheme val="minor"/>
      </rPr>
      <t xml:space="preserve">
Performance: rating 1–5
</t>
    </r>
    <r>
      <rPr>
        <b/>
        <sz val="11"/>
        <color theme="1"/>
        <rFont val="Calibri"/>
        <family val="2"/>
        <scheme val="minor"/>
      </rPr>
      <t>Assumption:</t>
    </r>
    <r>
      <rPr>
        <sz val="11"/>
        <color theme="1"/>
        <rFont val="Calibri"/>
        <family val="2"/>
        <scheme val="minor"/>
      </rPr>
      <t xml:space="preserve"> final rating (no calibration step shown).</t>
    </r>
  </si>
  <si>
    <r>
      <rPr>
        <b/>
        <sz val="11"/>
        <color theme="1"/>
        <rFont val="Calibri"/>
        <family val="2"/>
        <scheme val="minor"/>
      </rPr>
      <t xml:space="preserve">Purpose: </t>
    </r>
    <r>
      <rPr>
        <sz val="11"/>
        <color theme="1"/>
        <rFont val="Calibri"/>
        <family val="2"/>
        <scheme val="minor"/>
      </rPr>
      <t xml:space="preserve">This merit matrix was fictively designed for modeling purposes, but it follows standard compensation and total rewards practices.
The purpose of combining performance and compa-ratio groups is to balance:
-Pay-for-performance philosophy
-Internal equity and market alignment
</t>
    </r>
    <r>
      <rPr>
        <b/>
        <sz val="11"/>
        <color theme="1"/>
        <rFont val="Calibri"/>
        <family val="2"/>
        <scheme val="minor"/>
      </rPr>
      <t>Dimensions:</t>
    </r>
    <r>
      <rPr>
        <sz val="11"/>
        <color theme="1"/>
        <rFont val="Calibri"/>
        <family val="2"/>
        <scheme val="minor"/>
      </rPr>
      <t xml:space="preserve">
Performance Rating (vertical axis) – differentiates reward based on individual contribution.
Compa-Ratio Group (horizontal axis) – adjusts increases based on an employee’s position within the pay range.
</t>
    </r>
    <r>
      <rPr>
        <b/>
        <sz val="11"/>
        <color theme="1"/>
        <rFont val="Calibri"/>
        <family val="2"/>
        <scheme val="minor"/>
      </rPr>
      <t>Performance Differentiation</t>
    </r>
    <r>
      <rPr>
        <sz val="11"/>
        <color theme="1"/>
        <rFont val="Calibri"/>
        <family val="2"/>
        <scheme val="minor"/>
      </rPr>
      <t xml:space="preserve">
Higher performance ratings receive higher salary increases.
For example:
Performance 5 receives the highest increase range (2%–8%).
Performance 1 receives 0%, regardless of compa-ratio.
This ensures meaningful differentiation between performance levels.
</t>
    </r>
    <r>
      <rPr>
        <b/>
        <sz val="11"/>
        <color theme="1"/>
        <rFont val="Calibri"/>
        <family val="2"/>
        <scheme val="minor"/>
      </rPr>
      <t>Compa-Ratio Adjustment</t>
    </r>
    <r>
      <rPr>
        <sz val="11"/>
        <color theme="1"/>
        <rFont val="Calibri"/>
        <family val="2"/>
        <scheme val="minor"/>
      </rPr>
      <t xml:space="preserve">
Salary increases decrease as compa-ratio increases.
Employees in the “Very Low” compa group receive higher increases to accelerate movement toward midpoint.
Employees in the “High” compa group receive lower increases because they are already positioned near or above the pay band midpoint.
This supports internal equity and prevents excessive range penetration.
</t>
    </r>
    <r>
      <rPr>
        <b/>
        <sz val="11"/>
        <color theme="1"/>
        <rFont val="Calibri"/>
        <family val="2"/>
        <scheme val="minor"/>
      </rPr>
      <t>Percentage Calibration:</t>
    </r>
    <r>
      <rPr>
        <sz val="11"/>
        <color theme="1"/>
        <rFont val="Calibri"/>
        <family val="2"/>
        <scheme val="minor"/>
      </rPr>
      <t xml:space="preserve">
The percentage values were not taken from a specific company but were calibrated to reflect common market practice.
Typical annual merit budgets: ~2%–4% of payroll
High performers: often 5%–8%
Low performers: 0%–1%
High compa employees: lower increases
The matrix was structured so that, when applied to the full employee dataset, the overall company payroll increase results in approximately 2.5–3% total budget impact, which aligns with realistic merit cycle scenarios.</t>
    </r>
  </si>
  <si>
    <t>Total Payroll (2025)</t>
  </si>
  <si>
    <t>Remaining Budget Capacity</t>
  </si>
  <si>
    <t xml:space="preserve">Merit increases are calculated based on 2025 total payroll 
(13,854,899 SEK)
Proposed merit budget target is 3% of total payroll (fictive).
For "total merit spend" values, check the pivot table
All eligible employees are included (N = 250)
**POT = Payroll on Target
</t>
  </si>
  <si>
    <t>STI %</t>
  </si>
  <si>
    <t>Target STI</t>
  </si>
  <si>
    <t>Multiplier</t>
  </si>
  <si>
    <t>Final STI</t>
  </si>
  <si>
    <t>Manager</t>
  </si>
  <si>
    <t>Executive</t>
  </si>
  <si>
    <t>Performance Rating</t>
  </si>
  <si>
    <t>5 (Excellent)</t>
  </si>
  <si>
    <t>4 (Good)</t>
  </si>
  <si>
    <t>3 (Meets Expectation)</t>
  </si>
  <si>
    <t>2 (Below Expectation)</t>
  </si>
  <si>
    <t>1 (Poor)</t>
  </si>
  <si>
    <t>Multiplier/LTI</t>
  </si>
  <si>
    <t>Performance Multiplier is applied to Target STI/LTI to adjust payout based on individual performance rating</t>
  </si>
  <si>
    <r>
      <rPr>
        <b/>
        <sz val="11"/>
        <color theme="1"/>
        <rFont val="Calibri"/>
        <family val="2"/>
        <scheme val="minor"/>
      </rPr>
      <t>Note:</t>
    </r>
    <r>
      <rPr>
        <sz val="11"/>
        <color theme="1"/>
        <rFont val="Calibri"/>
        <family val="2"/>
        <scheme val="minor"/>
      </rPr>
      <t xml:space="preserve"> Merit matrix is not used here as it only affects base salary adjustments, not incentive payouts.</t>
    </r>
  </si>
  <si>
    <t>Employment Type</t>
  </si>
  <si>
    <t>Full time</t>
  </si>
  <si>
    <t xml:space="preserve">Job Level </t>
  </si>
  <si>
    <t xml:space="preserve">Job Level	</t>
  </si>
  <si>
    <t>Target STI %</t>
  </si>
  <si>
    <r>
      <rPr>
        <b/>
        <sz val="20"/>
        <color theme="1"/>
        <rFont val="Calibri (Body)"/>
      </rPr>
      <t>STAGE 5</t>
    </r>
    <r>
      <rPr>
        <sz val="11"/>
        <color theme="1"/>
        <rFont val="Calibri"/>
        <family val="2"/>
        <scheme val="minor"/>
      </rPr>
      <t xml:space="preserve">
</t>
    </r>
    <r>
      <rPr>
        <b/>
        <sz val="12"/>
        <color theme="1"/>
        <rFont val="Calibri"/>
        <family val="2"/>
        <scheme val="minor"/>
      </rPr>
      <t>G</t>
    </r>
    <r>
      <rPr>
        <b/>
        <sz val="12"/>
        <color theme="1"/>
        <rFont val="Calibri (Body)"/>
      </rPr>
      <t>) Deductions &amp; net pay</t>
    </r>
    <r>
      <rPr>
        <sz val="11"/>
        <color theme="1"/>
        <rFont val="Calibri"/>
        <family val="2"/>
        <scheme val="minor"/>
      </rPr>
      <t xml:space="preserve">
Tax %: employee tax rate (input)
Benefit Plan (A/B/C): input that drives health premium
Tax Amount: New Gross Salary × Tax %
Pension: New Gross Salary × 5%. Flat 5% for all.
Health Premium (A/B/C):
A = 500
B = 800
C = 1200
Assumption: flat cost (not %).
Total Deductions: Tax + Pension + Health Premium
Net Pay: New Gross Salary – Total Deductions</t>
    </r>
  </si>
  <si>
    <t>Junior / Entry Specialist</t>
  </si>
  <si>
    <t>Mid / Senior Specialist</t>
  </si>
  <si>
    <t>Net Pay
(New Gross Salary+Final STI-Total Deductions)</t>
  </si>
  <si>
    <r>
      <rPr>
        <b/>
        <sz val="20"/>
        <color theme="1"/>
        <rFont val="Calibri (Body)"/>
      </rPr>
      <t>STAGE 4</t>
    </r>
    <r>
      <rPr>
        <b/>
        <sz val="11"/>
        <color theme="1"/>
        <rFont val="Calibri"/>
        <family val="2"/>
        <scheme val="minor"/>
      </rPr>
      <t xml:space="preserve">
</t>
    </r>
    <r>
      <rPr>
        <b/>
        <sz val="14"/>
        <color theme="1"/>
        <rFont val="Calibri (Body)"/>
      </rPr>
      <t xml:space="preserve">F) STI </t>
    </r>
    <r>
      <rPr>
        <sz val="11"/>
        <color theme="1"/>
        <rFont val="Calibri"/>
        <family val="2"/>
        <scheme val="minor"/>
      </rPr>
      <t xml:space="preserve">
Determine Target STI (% of salary)
Multiply by Performance Multiplier to get Final STI:
Final STI = Target STI × Performance Multiplier</t>
    </r>
  </si>
  <si>
    <t>Tax %</t>
  </si>
  <si>
    <t>Tax Amount
(New Gross Salary + Final STI)*Tax %)</t>
  </si>
  <si>
    <t>Pay Frequency</t>
  </si>
  <si>
    <t>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</si>
</sst>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000000"/>
      <name val="Aptos"/>
    </font>
    <font>
      <b/>
      <sz val="12"/>
      <color theme="1"/>
      <name val="Calibri"/>
      <family val="2"/>
      <scheme val="minor"/>
    </font>
    <font>
      <b/>
      <sz val="10"/>
      <name val="Calibri"/>
      <family val="2"/>
      <scheme val="minor"/>
    </font>
    <font>
      <b/>
      <sz val="11"/>
      <color theme="1"/>
      <name val="Calibri"/>
      <family val="2"/>
      <scheme val="minor"/>
    </font>
    <font>
      <b/>
      <sz val="18"/>
      <color theme="1"/>
      <name val="Calibri"/>
      <family val="2"/>
      <scheme val="minor"/>
    </font>
    <font>
      <b/>
      <sz val="16"/>
      <color theme="1"/>
      <name val="Calibri"/>
      <family val="2"/>
      <scheme val="minor"/>
    </font>
    <font>
      <b/>
      <sz val="20"/>
      <color theme="1"/>
      <name val="Calibri (Body)"/>
    </font>
    <font>
      <b/>
      <sz val="14"/>
      <color theme="1"/>
      <name val="Calibri (Body)"/>
    </font>
    <font>
      <b/>
      <sz val="24"/>
      <color theme="1"/>
      <name val="Calibri"/>
      <family val="2"/>
      <scheme val="minor"/>
    </font>
    <font>
      <sz val="8"/>
      <name val="Calibri"/>
      <family val="2"/>
      <scheme val="minor"/>
    </font>
    <font>
      <b/>
      <sz val="12"/>
      <color theme="1"/>
      <name val="Calibri (Body)"/>
    </font>
  </fonts>
  <fills count="4">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s>
  <borders count="2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bottom style="thin">
        <color auto="1"/>
      </bottom>
      <diagonal/>
    </border>
    <border>
      <left/>
      <right style="thin">
        <color auto="1"/>
      </right>
      <top style="thin">
        <color auto="1"/>
      </top>
      <bottom style="medium">
        <color indexed="64"/>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top/>
      <bottom style="thin">
        <color auto="1"/>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style="medium">
        <color indexed="64"/>
      </right>
      <top/>
      <bottom style="medium">
        <color indexed="64"/>
      </bottom>
      <diagonal/>
    </border>
    <border>
      <left/>
      <right style="thin">
        <color auto="1"/>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s>
  <cellStyleXfs count="1">
    <xf numFmtId="0" fontId="0" fillId="0" borderId="0"/>
  </cellStyleXfs>
  <cellXfs count="117">
    <xf numFmtId="0" fontId="0" fillId="0" borderId="0" xfId="0"/>
    <xf numFmtId="0" fontId="0" fillId="0" borderId="0" xfId="0" applyAlignment="1">
      <alignment wrapText="1"/>
    </xf>
    <xf numFmtId="0" fontId="7" fillId="0" borderId="0" xfId="0" applyFont="1"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xf>
    <xf numFmtId="3" fontId="0" fillId="0" borderId="1" xfId="0" applyNumberFormat="1" applyBorder="1" applyAlignment="1">
      <alignment horizontal="center" vertical="center"/>
    </xf>
    <xf numFmtId="0" fontId="10" fillId="0" borderId="0" xfId="0" applyFont="1"/>
    <xf numFmtId="0" fontId="0" fillId="0" borderId="1" xfId="0" applyBorder="1" applyAlignment="1">
      <alignment horizontal="center" vertical="center" wrapText="1"/>
    </xf>
    <xf numFmtId="0" fontId="6" fillId="0" borderId="0" xfId="0" applyFont="1"/>
    <xf numFmtId="0" fontId="10" fillId="0" borderId="0" xfId="0" applyFont="1" applyAlignment="1">
      <alignment vertical="center"/>
    </xf>
    <xf numFmtId="0" fontId="0" fillId="0" borderId="0" xfId="0" applyAlignment="1">
      <alignment vertical="center"/>
    </xf>
    <xf numFmtId="0" fontId="8" fillId="0" borderId="0" xfId="0" applyFont="1" applyAlignment="1">
      <alignment vertical="center"/>
    </xf>
    <xf numFmtId="0" fontId="5" fillId="0" borderId="0" xfId="0" applyFont="1" applyAlignment="1">
      <alignment vertical="center"/>
    </xf>
    <xf numFmtId="0" fontId="5" fillId="0" borderId="0" xfId="0" applyFont="1"/>
    <xf numFmtId="0" fontId="9"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xf numFmtId="164" fontId="9" fillId="2" borderId="5" xfId="0" applyNumberFormat="1" applyFont="1" applyFill="1" applyBorder="1" applyAlignment="1">
      <alignment horizontal="center" vertical="center" wrapText="1"/>
    </xf>
    <xf numFmtId="4" fontId="9" fillId="2" borderId="5" xfId="0" applyNumberFormat="1" applyFont="1" applyFill="1" applyBorder="1" applyAlignment="1">
      <alignment horizontal="center" vertical="center" wrapText="1"/>
    </xf>
    <xf numFmtId="4" fontId="9" fillId="2" borderId="6" xfId="0" applyNumberFormat="1" applyFont="1" applyFill="1" applyBorder="1" applyAlignment="1">
      <alignment horizontal="center" vertical="center" wrapText="1"/>
    </xf>
    <xf numFmtId="0" fontId="0" fillId="0" borderId="2" xfId="0" applyBorder="1" applyAlignment="1">
      <alignment horizontal="center" vertical="center"/>
      <extLst>
        <ext xmlns:xfpb="http://schemas.microsoft.com/office/spreadsheetml/2022/featurepropertybag" uri="{C7286773-470A-42A8-94C5-96B5CB345126}">
          <xfpb:xfComplement i="0"/>
        </ext>
      </extLst>
    </xf>
    <xf numFmtId="0" fontId="0" fillId="0" borderId="1" xfId="0" applyBorder="1" applyAlignment="1">
      <alignment horizontal="center" vertical="center"/>
      <extLst>
        <ext xmlns:xfpb="http://schemas.microsoft.com/office/spreadsheetml/2022/featurepropertybag" uri="{C7286773-470A-42A8-94C5-96B5CB345126}">
          <xfpb:xfComplement i="0"/>
        </ext>
      </extLst>
    </xf>
    <xf numFmtId="14" fontId="0" fillId="0" borderId="1" xfId="0" applyNumberFormat="1" applyBorder="1" applyAlignment="1">
      <alignment horizontal="center" vertical="center"/>
      <extLst>
        <ext xmlns:xfpb="http://schemas.microsoft.com/office/spreadsheetml/2022/featurepropertybag" uri="{C7286773-470A-42A8-94C5-96B5CB345126}">
          <xfpb:xfComplement i="0"/>
        </ext>
      </extLst>
    </xf>
    <xf numFmtId="3" fontId="0" fillId="0" borderId="1" xfId="0" applyNumberFormat="1" applyBorder="1" applyAlignment="1">
      <alignment horizontal="center" vertical="center"/>
      <extLst>
        <ext xmlns:xfpb="http://schemas.microsoft.com/office/spreadsheetml/2022/featurepropertybag" uri="{C7286773-470A-42A8-94C5-96B5CB345126}">
          <xfpb:xfComplement i="0"/>
        </ext>
      </extLst>
    </xf>
    <xf numFmtId="4" fontId="0" fillId="0" borderId="1" xfId="0" applyNumberFormat="1" applyBorder="1" applyAlignment="1">
      <alignment horizontal="center" vertical="center"/>
      <extLst>
        <ext xmlns:xfpb="http://schemas.microsoft.com/office/spreadsheetml/2022/featurepropertybag" uri="{C7286773-470A-42A8-94C5-96B5CB345126}">
          <xfpb:xfComplement i="0"/>
        </ext>
      </extLst>
    </xf>
    <xf numFmtId="164" fontId="0" fillId="0" borderId="1" xfId="0" applyNumberFormat="1" applyBorder="1" applyAlignment="1">
      <alignment horizontal="center" vertical="center"/>
      <extLst>
        <ext xmlns:xfpb="http://schemas.microsoft.com/office/spreadsheetml/2022/featurepropertybag" uri="{C7286773-470A-42A8-94C5-96B5CB345126}">
          <xfpb:xfComplement i="0"/>
        </ext>
      </extLst>
    </xf>
    <xf numFmtId="9" fontId="0" fillId="0" borderId="1" xfId="0" applyNumberFormat="1" applyBorder="1" applyAlignment="1">
      <alignment horizontal="center" vertical="center"/>
      <extLst>
        <ext xmlns:xfpb="http://schemas.microsoft.com/office/spreadsheetml/2022/featurepropertybag" uri="{C7286773-470A-42A8-94C5-96B5CB345126}">
          <xfpb:xfComplement i="0"/>
        </ext>
      </extLst>
    </xf>
    <xf numFmtId="4" fontId="0" fillId="0" borderId="3" xfId="0" applyNumberFormat="1" applyBorder="1" applyAlignment="1">
      <alignment horizontal="center" vertical="center"/>
      <extLst>
        <ext xmlns:xfpb="http://schemas.microsoft.com/office/spreadsheetml/2022/featurepropertybag" uri="{C7286773-470A-42A8-94C5-96B5CB345126}">
          <xfpb:xfComplement i="0"/>
        </ext>
      </extLst>
    </xf>
    <xf numFmtId="0" fontId="0" fillId="0" borderId="8" xfId="0" applyBorder="1" applyAlignment="1">
      <alignment horizontal="center" vertical="center"/>
      <extLst>
        <ext xmlns:xfpb="http://schemas.microsoft.com/office/spreadsheetml/2022/featurepropertybag" uri="{C7286773-470A-42A8-94C5-96B5CB345126}">
          <xfpb:xfComplement i="0"/>
        </ext>
      </extLst>
    </xf>
    <xf numFmtId="3" fontId="0" fillId="0" borderId="8" xfId="0" applyNumberFormat="1" applyBorder="1" applyAlignment="1">
      <alignment horizontal="center" vertical="center"/>
      <extLst>
        <ext xmlns:xfpb="http://schemas.microsoft.com/office/spreadsheetml/2022/featurepropertybag" uri="{C7286773-470A-42A8-94C5-96B5CB345126}">
          <xfpb:xfComplement i="0"/>
        </ext>
      </extLst>
    </xf>
    <xf numFmtId="4" fontId="0" fillId="0" borderId="8" xfId="0" applyNumberFormat="1" applyBorder="1" applyAlignment="1">
      <alignment horizontal="center" vertical="center"/>
      <extLst>
        <ext xmlns:xfpb="http://schemas.microsoft.com/office/spreadsheetml/2022/featurepropertybag" uri="{C7286773-470A-42A8-94C5-96B5CB345126}">
          <xfpb:xfComplement i="0"/>
        </ext>
      </extLst>
    </xf>
    <xf numFmtId="9" fontId="0" fillId="0" borderId="8" xfId="0" applyNumberFormat="1" applyBorder="1" applyAlignment="1">
      <alignment horizontal="center" vertical="center"/>
      <extLst>
        <ext xmlns:xfpb="http://schemas.microsoft.com/office/spreadsheetml/2022/featurepropertybag" uri="{C7286773-470A-42A8-94C5-96B5CB345126}">
          <xfpb:xfComplement i="0"/>
        </ext>
      </extLst>
    </xf>
    <xf numFmtId="4" fontId="0" fillId="0" borderId="9" xfId="0" applyNumberFormat="1" applyBorder="1" applyAlignment="1">
      <alignment horizontal="center" vertical="center"/>
      <extLst>
        <ext xmlns:xfpb="http://schemas.microsoft.com/office/spreadsheetml/2022/featurepropertybag" uri="{C7286773-470A-42A8-94C5-96B5CB345126}">
          <xfpb:xfComplement i="0"/>
        </ext>
      </extLst>
    </xf>
    <xf numFmtId="0" fontId="6" fillId="3" borderId="15" xfId="0" applyFont="1" applyFill="1" applyBorder="1" applyAlignment="1">
      <alignment horizontal="center" vertical="center"/>
    </xf>
    <xf numFmtId="0" fontId="6" fillId="3" borderId="16" xfId="0" applyFont="1" applyFill="1" applyBorder="1" applyAlignment="1">
      <alignment horizontal="center" vertical="center"/>
    </xf>
    <xf numFmtId="0" fontId="6" fillId="3" borderId="17"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8" fillId="0" borderId="5" xfId="0" applyFont="1" applyBorder="1" applyAlignment="1">
      <alignment horizontal="center" vertical="center"/>
    </xf>
    <xf numFmtId="0" fontId="8" fillId="0" borderId="4" xfId="0" applyFont="1" applyBorder="1" applyAlignment="1">
      <alignment horizontal="center" vertical="center"/>
    </xf>
    <xf numFmtId="0" fontId="8" fillId="0" borderId="6" xfId="0" applyFont="1" applyBorder="1" applyAlignment="1">
      <alignment horizontal="center" vertical="center"/>
    </xf>
    <xf numFmtId="0" fontId="10" fillId="0" borderId="2" xfId="0" applyFont="1" applyBorder="1" applyAlignment="1">
      <alignment horizontal="center" vertical="center"/>
    </xf>
    <xf numFmtId="9" fontId="0" fillId="0" borderId="3" xfId="0" applyNumberFormat="1" applyBorder="1" applyAlignment="1">
      <alignment horizontal="center" vertical="center"/>
    </xf>
    <xf numFmtId="0" fontId="10" fillId="0" borderId="7" xfId="0" applyFont="1" applyBorder="1" applyAlignment="1">
      <alignment horizontal="center" vertical="center"/>
    </xf>
    <xf numFmtId="0" fontId="0" fillId="0" borderId="8" xfId="0" applyBorder="1" applyAlignment="1">
      <alignment horizontal="center" vertical="center" wrapText="1"/>
    </xf>
    <xf numFmtId="3" fontId="0" fillId="0" borderId="8" xfId="0" applyNumberFormat="1" applyBorder="1" applyAlignment="1">
      <alignment horizontal="center" vertical="center"/>
    </xf>
    <xf numFmtId="9" fontId="0" fillId="0" borderId="9" xfId="0" applyNumberFormat="1" applyBorder="1" applyAlignment="1">
      <alignment horizontal="center" vertical="center"/>
    </xf>
    <xf numFmtId="9" fontId="6" fillId="2" borderId="4" xfId="0" applyNumberFormat="1" applyFont="1" applyFill="1" applyBorder="1" applyAlignment="1">
      <alignment horizontal="center" vertical="center"/>
    </xf>
    <xf numFmtId="9" fontId="6" fillId="2" borderId="5" xfId="0" applyNumberFormat="1" applyFont="1" applyFill="1" applyBorder="1" applyAlignment="1">
      <alignment horizontal="center" vertical="center"/>
    </xf>
    <xf numFmtId="9" fontId="6" fillId="2" borderId="13" xfId="0" applyNumberFormat="1" applyFont="1" applyFill="1" applyBorder="1" applyAlignment="1">
      <alignment horizontal="center" vertical="center"/>
    </xf>
    <xf numFmtId="9" fontId="6" fillId="2" borderId="2" xfId="0" applyNumberFormat="1" applyFont="1" applyFill="1" applyBorder="1" applyAlignment="1">
      <alignment horizontal="center" vertical="center"/>
    </xf>
    <xf numFmtId="9" fontId="6" fillId="2" borderId="1" xfId="0" applyNumberFormat="1" applyFont="1" applyFill="1" applyBorder="1" applyAlignment="1">
      <alignment horizontal="center" vertical="center"/>
    </xf>
    <xf numFmtId="10" fontId="6" fillId="2" borderId="10" xfId="0" applyNumberFormat="1" applyFont="1" applyFill="1" applyBorder="1" applyAlignment="1">
      <alignment horizontal="center" vertical="center"/>
    </xf>
    <xf numFmtId="10" fontId="6" fillId="2" borderId="1" xfId="0" applyNumberFormat="1" applyFont="1" applyFill="1" applyBorder="1" applyAlignment="1">
      <alignment horizontal="center" vertical="center"/>
    </xf>
    <xf numFmtId="9" fontId="6" fillId="2" borderId="10" xfId="0" applyNumberFormat="1" applyFont="1" applyFill="1" applyBorder="1" applyAlignment="1">
      <alignment horizontal="center" vertical="center"/>
    </xf>
    <xf numFmtId="9" fontId="6" fillId="2" borderId="14" xfId="0" applyNumberFormat="1" applyFont="1" applyFill="1" applyBorder="1" applyAlignment="1">
      <alignment horizontal="center" vertical="center"/>
    </xf>
    <xf numFmtId="9" fontId="6" fillId="2" borderId="11" xfId="0" applyNumberFormat="1" applyFont="1" applyFill="1" applyBorder="1" applyAlignment="1">
      <alignment horizontal="center" vertical="center"/>
    </xf>
    <xf numFmtId="9" fontId="6" fillId="2" borderId="12" xfId="0" applyNumberFormat="1" applyFont="1" applyFill="1" applyBorder="1" applyAlignment="1">
      <alignment horizontal="center" vertical="center"/>
    </xf>
    <xf numFmtId="10" fontId="0" fillId="0" borderId="0" xfId="0" applyNumberFormat="1" applyAlignment="1">
      <alignment vertical="center"/>
    </xf>
    <xf numFmtId="10" fontId="0" fillId="0" borderId="0" xfId="0" applyNumberFormat="1"/>
    <xf numFmtId="0" fontId="0" fillId="0" borderId="0" xfId="0" pivotButton="1" applyAlignment="1">
      <alignment vertical="center"/>
    </xf>
    <xf numFmtId="10" fontId="0" fillId="0" borderId="0" xfId="0" applyNumberFormat="1" applyAlignment="1">
      <alignment vertical="center" wrapText="1"/>
    </xf>
    <xf numFmtId="0" fontId="0" fillId="0" borderId="0" xfId="0" pivotButton="1" applyAlignment="1">
      <alignment horizontal="right" vertical="center" wrapText="1"/>
    </xf>
    <xf numFmtId="0" fontId="0" fillId="0" borderId="0" xfId="0" applyAlignment="1">
      <alignment horizontal="right" vertical="center" wrapText="1"/>
    </xf>
    <xf numFmtId="0" fontId="0" fillId="0" borderId="0" xfId="0" applyAlignment="1">
      <alignment horizontal="left" vertical="center"/>
    </xf>
    <xf numFmtId="3" fontId="0" fillId="0" borderId="0" xfId="0" applyNumberFormat="1" applyAlignment="1">
      <alignment vertical="center"/>
    </xf>
    <xf numFmtId="3" fontId="0" fillId="0" borderId="0" xfId="0" applyNumberFormat="1" applyAlignment="1">
      <alignment horizontal="left" vertical="center"/>
    </xf>
    <xf numFmtId="0" fontId="4" fillId="0" borderId="0" xfId="0" applyFont="1" applyAlignment="1">
      <alignment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9" fontId="0" fillId="0" borderId="5" xfId="0" applyNumberFormat="1" applyBorder="1" applyAlignment="1">
      <alignment horizontal="center" vertical="center"/>
    </xf>
    <xf numFmtId="9" fontId="0" fillId="0" borderId="1" xfId="0" applyNumberFormat="1" applyBorder="1" applyAlignment="1">
      <alignment horizontal="center" vertical="center"/>
    </xf>
    <xf numFmtId="9" fontId="0" fillId="0" borderId="8" xfId="0" applyNumberFormat="1" applyBorder="1" applyAlignment="1">
      <alignment horizontal="center" vertical="center"/>
    </xf>
    <xf numFmtId="0" fontId="8" fillId="3" borderId="21" xfId="0" applyFont="1" applyFill="1" applyBorder="1" applyAlignment="1">
      <alignment horizontal="center" vertical="center" wrapText="1"/>
    </xf>
    <xf numFmtId="0" fontId="8" fillId="3" borderId="22" xfId="0" applyFont="1" applyFill="1" applyBorder="1" applyAlignment="1">
      <alignment horizontal="center" vertical="center" wrapText="1"/>
    </xf>
    <xf numFmtId="0" fontId="8" fillId="3" borderId="19"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4" fillId="0" borderId="0" xfId="0" applyFont="1" applyAlignment="1">
      <alignment vertical="top" wrapText="1"/>
    </xf>
    <xf numFmtId="0" fontId="0" fillId="0" borderId="0" xfId="0" applyAlignment="1">
      <alignment vertical="top" wrapText="1"/>
    </xf>
    <xf numFmtId="0" fontId="0" fillId="0" borderId="1" xfId="0" applyBorder="1" applyAlignment="1">
      <alignment vertical="top" wrapText="1"/>
    </xf>
    <xf numFmtId="0" fontId="10" fillId="0" borderId="1" xfId="0" applyFont="1" applyBorder="1" applyAlignment="1">
      <alignment horizontal="center" vertical="center"/>
    </xf>
    <xf numFmtId="0" fontId="10" fillId="0" borderId="8" xfId="0" applyFont="1" applyBorder="1" applyAlignment="1">
      <alignment horizontal="center" vertical="center"/>
    </xf>
    <xf numFmtId="0" fontId="2" fillId="0" borderId="1" xfId="0" applyFont="1" applyBorder="1" applyAlignment="1">
      <alignment horizontal="left" vertical="center"/>
    </xf>
    <xf numFmtId="4" fontId="2" fillId="0" borderId="1" xfId="0" applyNumberFormat="1" applyFont="1" applyBorder="1" applyAlignment="1">
      <alignment horizontal="left" vertical="center"/>
    </xf>
    <xf numFmtId="0" fontId="2" fillId="0" borderId="1" xfId="0" applyFont="1" applyBorder="1" applyAlignment="1">
      <alignment vertical="center"/>
    </xf>
    <xf numFmtId="9" fontId="2" fillId="0" borderId="1" xfId="0" applyNumberFormat="1" applyFont="1" applyBorder="1" applyAlignment="1">
      <alignment horizontal="left" vertical="center"/>
    </xf>
    <xf numFmtId="0" fontId="2" fillId="0" borderId="1" xfId="0" applyFont="1" applyBorder="1"/>
    <xf numFmtId="4" fontId="2" fillId="0" borderId="1" xfId="0" applyNumberFormat="1" applyFont="1" applyBorder="1" applyAlignment="1">
      <alignment horizontal="left"/>
    </xf>
    <xf numFmtId="0" fontId="8" fillId="0" borderId="1" xfId="0" applyFont="1" applyBorder="1"/>
    <xf numFmtId="10" fontId="8" fillId="0" borderId="1" xfId="0" applyNumberFormat="1" applyFont="1" applyBorder="1" applyAlignment="1">
      <alignment horizontal="left" vertical="center"/>
    </xf>
    <xf numFmtId="4" fontId="8" fillId="0" borderId="1" xfId="0" applyNumberFormat="1" applyFont="1" applyBorder="1" applyAlignment="1">
      <alignment horizontal="left"/>
    </xf>
    <xf numFmtId="0" fontId="0" fillId="0" borderId="0" xfId="0" applyAlignment="1">
      <alignment vertical="center" wrapText="1"/>
    </xf>
    <xf numFmtId="165" fontId="0" fillId="0" borderId="1" xfId="0" applyNumberFormat="1" applyBorder="1" applyAlignment="1">
      <alignment horizontal="center" vertical="center"/>
    </xf>
    <xf numFmtId="0" fontId="0" fillId="0" borderId="1" xfId="0" applyBorder="1" applyAlignment="1">
      <alignment vertical="center" wrapText="1"/>
    </xf>
    <xf numFmtId="0" fontId="8" fillId="3" borderId="1" xfId="0" applyFont="1" applyFill="1" applyBorder="1" applyAlignment="1">
      <alignment horizontal="center" vertical="center"/>
    </xf>
    <xf numFmtId="9" fontId="0" fillId="0" borderId="1" xfId="0" applyNumberFormat="1" applyBorder="1" applyAlignment="1">
      <alignment horizontal="left" vertical="center" wrapText="1"/>
    </xf>
    <xf numFmtId="0" fontId="0" fillId="0" borderId="1" xfId="0" applyBorder="1" applyAlignment="1">
      <alignment vertical="center"/>
    </xf>
    <xf numFmtId="166" fontId="0" fillId="0" borderId="1" xfId="0" applyNumberFormat="1" applyBorder="1" applyAlignment="1">
      <alignment horizontal="left" vertical="center"/>
    </xf>
    <xf numFmtId="4" fontId="0" fillId="0" borderId="0" xfId="0" applyNumberFormat="1"/>
    <xf numFmtId="0" fontId="4" fillId="0" borderId="0" xfId="0" applyFont="1" applyAlignment="1">
      <alignment horizontal="left" vertical="center" wrapText="1"/>
    </xf>
    <xf numFmtId="0" fontId="11" fillId="0" borderId="0" xfId="0" applyFont="1" applyAlignment="1">
      <alignment horizontal="center" vertical="center"/>
    </xf>
    <xf numFmtId="0" fontId="3" fillId="0" borderId="0" xfId="0" applyFont="1" applyAlignment="1">
      <alignment horizontal="left" vertical="top" wrapText="1"/>
    </xf>
    <xf numFmtId="0" fontId="4" fillId="0" borderId="0" xfId="0" applyFont="1" applyAlignment="1">
      <alignment horizontal="left" vertical="top" wrapText="1"/>
    </xf>
    <xf numFmtId="0" fontId="12" fillId="3" borderId="26" xfId="0" applyFont="1" applyFill="1" applyBorder="1" applyAlignment="1">
      <alignment horizontal="center" vertical="center"/>
    </xf>
    <xf numFmtId="0" fontId="12" fillId="3" borderId="27" xfId="0" applyFont="1" applyFill="1" applyBorder="1" applyAlignment="1">
      <alignment horizontal="center" vertical="center"/>
    </xf>
    <xf numFmtId="0" fontId="12" fillId="0" borderId="0" xfId="0" applyFont="1" applyAlignment="1">
      <alignment horizontal="center" vertical="center"/>
    </xf>
    <xf numFmtId="0" fontId="12" fillId="3" borderId="23" xfId="0" applyFont="1" applyFill="1" applyBorder="1" applyAlignment="1">
      <alignment horizontal="center" vertical="center"/>
    </xf>
    <xf numFmtId="0" fontId="12" fillId="3" borderId="24" xfId="0" applyFont="1" applyFill="1" applyBorder="1" applyAlignment="1">
      <alignment horizontal="center" vertical="center"/>
    </xf>
    <xf numFmtId="0" fontId="12" fillId="3" borderId="25" xfId="0" applyFont="1" applyFill="1" applyBorder="1" applyAlignment="1">
      <alignment horizontal="center" vertical="center"/>
    </xf>
    <xf numFmtId="0" fontId="0" fillId="0" borderId="0" xfId="0" applyAlignment="1">
      <alignment horizontal="left" vertical="top" wrapText="1"/>
    </xf>
    <xf numFmtId="0" fontId="15" fillId="0" borderId="6" xfId="0" applyFont="1" applyBorder="1" applyAlignment="1">
      <alignment horizontal="center" vertical="center" wrapText="1"/>
    </xf>
    <xf numFmtId="0" fontId="15" fillId="0" borderId="18" xfId="0" applyFont="1" applyBorder="1" applyAlignment="1">
      <alignment horizontal="center" vertical="center" wrapText="1"/>
    </xf>
    <xf numFmtId="3" fontId="0" fillId="0" borderId="0" xfId="0" applyNumberFormat="1"/>
  </cellXfs>
  <cellStyles count="1">
    <cellStyle name="Normal" xfId="0" builtinId="0"/>
  </cellStyles>
  <dxfs count="135">
    <dxf>
      <numFmt numFmtId="13"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3" formatCode="0%"/>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numFmt numFmtId="13" formatCode="0%"/>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numFmt numFmtId="3"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3"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3"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outline="0">
        <left/>
        <right style="thin">
          <color auto="1"/>
        </right>
        <top style="thin">
          <color auto="1"/>
        </top>
        <bottom style="thin">
          <color auto="1"/>
        </bottom>
      </border>
    </dxf>
    <dxf>
      <font>
        <b/>
      </font>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alignment wrapText="1"/>
    </dxf>
    <dxf>
      <numFmt numFmtId="14" formatCode="0.00%"/>
    </dxf>
    <dxf>
      <numFmt numFmtId="14" formatCode="0.00%"/>
    </dxf>
    <dxf>
      <alignment horizontal="right"/>
    </dxf>
    <dxf>
      <alignment horizontal="right"/>
    </dxf>
    <dxf>
      <alignment wrapText="1"/>
    </dxf>
    <dxf>
      <alignment wrapText="1"/>
    </dxf>
    <dxf>
      <alignment vertical="center"/>
    </dxf>
    <dxf>
      <alignment vertical="center"/>
    </dxf>
    <dxf>
      <alignment wrapText="1"/>
    </dxf>
    <dxf>
      <alignment vertical="center"/>
    </dxf>
    <dxf>
      <alignment wrapText="1"/>
    </dxf>
    <dxf>
      <numFmt numFmtId="4" formatCode="#,##0.00"/>
      <alignment horizontal="center" vertical="center" textRotation="0" wrapText="0" indent="0" justifyLastLine="0" shrinkToFit="0" readingOrder="0"/>
      <border diagonalUp="0" diagonalDown="0" outline="0">
        <left style="thin">
          <color auto="1"/>
        </left>
        <right/>
        <top style="thin">
          <color auto="1"/>
        </top>
        <bottom/>
      </border>
    </dxf>
    <dxf>
      <numFmt numFmtId="4" formatCode="#,##0.00"/>
      <alignment horizontal="center" vertical="center" textRotation="0" wrapText="0" indent="0" justifyLastLine="0" shrinkToFit="0" readingOrder="0"/>
      <border diagonalUp="0" diagonalDown="0">
        <left style="thin">
          <color auto="1"/>
        </left>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4"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4"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numFmt numFmtId="4"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13" formatCode="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3"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3"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3"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3"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3" formatCode="#,##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4" formatCode="#,##0.0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164" formatCode="0.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3" formatCode="#,##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3" formatCode="#,##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3" formatCode="#,##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3" formatCode="#,##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3" formatCode="#,##0"/>
      <alignment horizontal="center" vertical="center" textRotation="0" wrapText="0" indent="0" justifyLastLine="0" shrinkToFit="0" readingOrder="0"/>
      <border diagonalUp="0" diagonalDown="0" outline="0">
        <left style="thin">
          <color auto="1"/>
        </left>
        <right style="thin">
          <color auto="1"/>
        </right>
        <top style="thin">
          <color auto="1"/>
        </top>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3" formatCode="#,##0"/>
      <alignment horizontal="center" vertical="center" textRotation="0" wrapText="0" indent="0" justifyLastLine="0" shrinkToFit="0" readingOrder="0"/>
      <border diagonalUp="0" diagonalDown="0" outline="0">
        <left style="thin">
          <color auto="1"/>
        </left>
        <right style="thin">
          <color auto="1"/>
        </right>
        <top style="thin">
          <color auto="1"/>
        </top>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3"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3" formatCode="#,##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right style="thin">
          <color auto="1"/>
        </right>
        <top style="thin">
          <color auto="1"/>
        </top>
        <bottom/>
      </border>
    </dxf>
    <dxf>
      <alignment horizontal="center" vertical="center" textRotation="0" wrapText="0" indent="0" justifyLastLine="0" shrinkToFit="0" readingOrder="0"/>
      <border diagonalUp="0" diagonalDown="0" outline="0">
        <left/>
        <right style="thin">
          <color auto="1"/>
        </right>
        <top style="thin">
          <color auto="1"/>
        </top>
        <bottom style="thin">
          <color auto="1"/>
        </bottom>
      </border>
      <extLst>
        <ext xmlns:xfpb="http://schemas.microsoft.com/office/spreadsheetml/2022/featurepropertybag" uri="{0417FA29-78FA-4A13-93AC-8FF0FAFDF519}">
          <xfpb:DXFComplement i="0"/>
        </ext>
      </extLst>
    </dxf>
    <dxf>
      <border outline="0">
        <top style="thin">
          <color auto="1"/>
        </top>
      </border>
    </dxf>
    <dxf>
      <border outline="0">
        <left style="thin">
          <color auto="1"/>
        </left>
        <right style="thin">
          <color auto="1"/>
        </right>
        <top style="thin">
          <color auto="1"/>
        </top>
        <bottom style="thin">
          <color auto="1"/>
        </bottom>
      </border>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border outline="0">
        <bottom style="thin">
          <color auto="1"/>
        </bottom>
      </border>
    </dxf>
    <dxf>
      <font>
        <b/>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[Compensation Toolkit - Salary Band Design, Compa Ratio Segmentation &amp; Merit Matrix.xlsx]Merit Increase Impact (2026)!PivotTable5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'Merit Increase Impact (2026)'!$B$4</c:f>
              <c:strCache>
                <c:ptCount val="1"/>
                <c:pt idx="0">
                  <c:v>Number of Employee</c:v>
                </c:pt>
              </c:strCache>
            </c:strRef>
          </c:tx>
          <c:spPr>
            <a:solidFill>
              <a:schemeClr val="accent1"/>
            </a:solidFill>
            <a:ln>
              <a:noFill/>
            </a:ln>
            <a:effectLst/>
          </c:spPr>
          <c:invertIfNegative val="0"/>
          <c:cat>
            <c:multiLvlStrRef>
              <c:f>'Merit Increase Impact (2026)'!$A$5:$A$38</c:f>
              <c:multiLvlStrCache>
                <c:ptCount val="27"/>
                <c:lvl>
                  <c:pt idx="0">
                    <c:v>1</c:v>
                  </c:pt>
                  <c:pt idx="1">
                    <c:v>2</c:v>
                  </c:pt>
                  <c:pt idx="2">
                    <c:v>3</c:v>
                  </c:pt>
                  <c:pt idx="3">
                    <c:v>4</c:v>
                  </c:pt>
                  <c:pt idx="4">
                    <c:v>5</c:v>
                  </c:pt>
                  <c:pt idx="5">
                    <c:v>2</c:v>
                  </c:pt>
                  <c:pt idx="6">
                    <c:v>3</c:v>
                  </c:pt>
                  <c:pt idx="7">
                    <c:v>4</c:v>
                  </c:pt>
                  <c:pt idx="8">
                    <c:v>5</c:v>
                  </c:pt>
                  <c:pt idx="9">
                    <c:v>2</c:v>
                  </c:pt>
                  <c:pt idx="10">
                    <c:v>3</c:v>
                  </c:pt>
                  <c:pt idx="11">
                    <c:v>4</c:v>
                  </c:pt>
                  <c:pt idx="12">
                    <c:v>5</c:v>
                  </c:pt>
                  <c:pt idx="13">
                    <c:v>1</c:v>
                  </c:pt>
                  <c:pt idx="14">
                    <c:v>2</c:v>
                  </c:pt>
                  <c:pt idx="15">
                    <c:v>3</c:v>
                  </c:pt>
                  <c:pt idx="16">
                    <c:v>4</c:v>
                  </c:pt>
                  <c:pt idx="17">
                    <c:v>5</c:v>
                  </c:pt>
                  <c:pt idx="18">
                    <c:v>2</c:v>
                  </c:pt>
                  <c:pt idx="19">
                    <c:v>3</c:v>
                  </c:pt>
                  <c:pt idx="20">
                    <c:v>4</c:v>
                  </c:pt>
                  <c:pt idx="21">
                    <c:v>5</c:v>
                  </c:pt>
                  <c:pt idx="22">
                    <c:v>1</c:v>
                  </c:pt>
                  <c:pt idx="23">
                    <c:v>2</c:v>
                  </c:pt>
                  <c:pt idx="24">
                    <c:v>3</c:v>
                  </c:pt>
                  <c:pt idx="25">
                    <c:v>4</c:v>
                  </c:pt>
                  <c:pt idx="26">
                    <c:v>5</c:v>
                  </c:pt>
                </c:lvl>
                <c:lvl>
                  <c:pt idx="0">
                    <c:v>Finance</c:v>
                  </c:pt>
                  <c:pt idx="5">
                    <c:v>HR</c:v>
                  </c:pt>
                  <c:pt idx="9">
                    <c:v>IT</c:v>
                  </c:pt>
                  <c:pt idx="13">
                    <c:v>Marketing</c:v>
                  </c:pt>
                  <c:pt idx="18">
                    <c:v>Operations</c:v>
                  </c:pt>
                  <c:pt idx="22">
                    <c:v>Sales</c:v>
                  </c:pt>
                </c:lvl>
              </c:multiLvlStrCache>
            </c:multiLvlStrRef>
          </c:cat>
          <c:val>
            <c:numRef>
              <c:f>'Merit Increase Impact (2026)'!$B$5:$B$38</c:f>
              <c:numCache>
                <c:formatCode>General</c:formatCode>
                <c:ptCount val="27"/>
                <c:pt idx="0">
                  <c:v>1</c:v>
                </c:pt>
                <c:pt idx="1">
                  <c:v>8</c:v>
                </c:pt>
                <c:pt idx="2">
                  <c:v>24</c:v>
                </c:pt>
                <c:pt idx="3">
                  <c:v>6</c:v>
                </c:pt>
                <c:pt idx="4">
                  <c:v>3</c:v>
                </c:pt>
                <c:pt idx="5">
                  <c:v>4</c:v>
                </c:pt>
                <c:pt idx="6">
                  <c:v>27</c:v>
                </c:pt>
                <c:pt idx="7">
                  <c:v>1</c:v>
                </c:pt>
                <c:pt idx="8">
                  <c:v>3</c:v>
                </c:pt>
                <c:pt idx="9">
                  <c:v>5</c:v>
                </c:pt>
                <c:pt idx="10">
                  <c:v>30</c:v>
                </c:pt>
                <c:pt idx="11">
                  <c:v>8</c:v>
                </c:pt>
                <c:pt idx="12">
                  <c:v>8</c:v>
                </c:pt>
                <c:pt idx="13">
                  <c:v>3</c:v>
                </c:pt>
                <c:pt idx="14">
                  <c:v>2</c:v>
                </c:pt>
                <c:pt idx="15">
                  <c:v>15</c:v>
                </c:pt>
                <c:pt idx="16">
                  <c:v>6</c:v>
                </c:pt>
                <c:pt idx="17">
                  <c:v>10</c:v>
                </c:pt>
                <c:pt idx="18">
                  <c:v>7</c:v>
                </c:pt>
                <c:pt idx="19">
                  <c:v>22</c:v>
                </c:pt>
                <c:pt idx="20">
                  <c:v>16</c:v>
                </c:pt>
                <c:pt idx="21">
                  <c:v>1</c:v>
                </c:pt>
                <c:pt idx="22">
                  <c:v>2</c:v>
                </c:pt>
                <c:pt idx="23">
                  <c:v>1</c:v>
                </c:pt>
                <c:pt idx="24">
                  <c:v>19</c:v>
                </c:pt>
                <c:pt idx="25">
                  <c:v>13</c:v>
                </c:pt>
                <c:pt idx="26">
                  <c:v>5</c:v>
                </c:pt>
              </c:numCache>
            </c:numRef>
          </c:val>
          <c:extLst>
            <c:ext xmlns:c16="http://schemas.microsoft.com/office/drawing/2014/chart" uri="{C3380CC4-5D6E-409C-BE32-E72D297353CC}">
              <c16:uniqueId val="{00000000-DD9E-0944-9664-2902DB2BB2D9}"/>
            </c:ext>
          </c:extLst>
        </c:ser>
        <c:ser>
          <c:idx val="1"/>
          <c:order val="1"/>
          <c:tx>
            <c:strRef>
              <c:f>'Merit Increase Impact (2026)'!$C$4</c:f>
              <c:strCache>
                <c:ptCount val="1"/>
                <c:pt idx="0">
                  <c:v>Average Gross Salary (2025)</c:v>
                </c:pt>
              </c:strCache>
            </c:strRef>
          </c:tx>
          <c:spPr>
            <a:solidFill>
              <a:schemeClr val="accent2"/>
            </a:solidFill>
            <a:ln>
              <a:noFill/>
            </a:ln>
            <a:effectLst/>
          </c:spPr>
          <c:invertIfNegative val="0"/>
          <c:cat>
            <c:multiLvlStrRef>
              <c:f>'Merit Increase Impact (2026)'!$A$5:$A$38</c:f>
              <c:multiLvlStrCache>
                <c:ptCount val="27"/>
                <c:lvl>
                  <c:pt idx="0">
                    <c:v>1</c:v>
                  </c:pt>
                  <c:pt idx="1">
                    <c:v>2</c:v>
                  </c:pt>
                  <c:pt idx="2">
                    <c:v>3</c:v>
                  </c:pt>
                  <c:pt idx="3">
                    <c:v>4</c:v>
                  </c:pt>
                  <c:pt idx="4">
                    <c:v>5</c:v>
                  </c:pt>
                  <c:pt idx="5">
                    <c:v>2</c:v>
                  </c:pt>
                  <c:pt idx="6">
                    <c:v>3</c:v>
                  </c:pt>
                  <c:pt idx="7">
                    <c:v>4</c:v>
                  </c:pt>
                  <c:pt idx="8">
                    <c:v>5</c:v>
                  </c:pt>
                  <c:pt idx="9">
                    <c:v>2</c:v>
                  </c:pt>
                  <c:pt idx="10">
                    <c:v>3</c:v>
                  </c:pt>
                  <c:pt idx="11">
                    <c:v>4</c:v>
                  </c:pt>
                  <c:pt idx="12">
                    <c:v>5</c:v>
                  </c:pt>
                  <c:pt idx="13">
                    <c:v>1</c:v>
                  </c:pt>
                  <c:pt idx="14">
                    <c:v>2</c:v>
                  </c:pt>
                  <c:pt idx="15">
                    <c:v>3</c:v>
                  </c:pt>
                  <c:pt idx="16">
                    <c:v>4</c:v>
                  </c:pt>
                  <c:pt idx="17">
                    <c:v>5</c:v>
                  </c:pt>
                  <c:pt idx="18">
                    <c:v>2</c:v>
                  </c:pt>
                  <c:pt idx="19">
                    <c:v>3</c:v>
                  </c:pt>
                  <c:pt idx="20">
                    <c:v>4</c:v>
                  </c:pt>
                  <c:pt idx="21">
                    <c:v>5</c:v>
                  </c:pt>
                  <c:pt idx="22">
                    <c:v>1</c:v>
                  </c:pt>
                  <c:pt idx="23">
                    <c:v>2</c:v>
                  </c:pt>
                  <c:pt idx="24">
                    <c:v>3</c:v>
                  </c:pt>
                  <c:pt idx="25">
                    <c:v>4</c:v>
                  </c:pt>
                  <c:pt idx="26">
                    <c:v>5</c:v>
                  </c:pt>
                </c:lvl>
                <c:lvl>
                  <c:pt idx="0">
                    <c:v>Finance</c:v>
                  </c:pt>
                  <c:pt idx="5">
                    <c:v>HR</c:v>
                  </c:pt>
                  <c:pt idx="9">
                    <c:v>IT</c:v>
                  </c:pt>
                  <c:pt idx="13">
                    <c:v>Marketing</c:v>
                  </c:pt>
                  <c:pt idx="18">
                    <c:v>Operations</c:v>
                  </c:pt>
                  <c:pt idx="22">
                    <c:v>Sales</c:v>
                  </c:pt>
                </c:lvl>
              </c:multiLvlStrCache>
            </c:multiLvlStrRef>
          </c:cat>
          <c:val>
            <c:numRef>
              <c:f>'Merit Increase Impact (2026)'!$C$5:$C$38</c:f>
              <c:numCache>
                <c:formatCode>#,##0</c:formatCode>
                <c:ptCount val="27"/>
                <c:pt idx="0">
                  <c:v>39911</c:v>
                </c:pt>
                <c:pt idx="1">
                  <c:v>43500</c:v>
                </c:pt>
                <c:pt idx="2">
                  <c:v>54158.583333333336</c:v>
                </c:pt>
                <c:pt idx="3">
                  <c:v>65525.833333333336</c:v>
                </c:pt>
                <c:pt idx="4">
                  <c:v>54715.333333333336</c:v>
                </c:pt>
                <c:pt idx="5">
                  <c:v>43500</c:v>
                </c:pt>
                <c:pt idx="6">
                  <c:v>54207.481481481482</c:v>
                </c:pt>
                <c:pt idx="7">
                  <c:v>47000</c:v>
                </c:pt>
                <c:pt idx="8">
                  <c:v>59754.666666666664</c:v>
                </c:pt>
                <c:pt idx="9">
                  <c:v>88313</c:v>
                </c:pt>
                <c:pt idx="10">
                  <c:v>64692.73333333333</c:v>
                </c:pt>
                <c:pt idx="11">
                  <c:v>74641</c:v>
                </c:pt>
                <c:pt idx="12">
                  <c:v>43337.875</c:v>
                </c:pt>
                <c:pt idx="13">
                  <c:v>37429.333333333336</c:v>
                </c:pt>
                <c:pt idx="14">
                  <c:v>88313</c:v>
                </c:pt>
                <c:pt idx="15">
                  <c:v>54832.73333333333</c:v>
                </c:pt>
                <c:pt idx="16">
                  <c:v>88465.833333333328</c:v>
                </c:pt>
                <c:pt idx="17">
                  <c:v>40386.1</c:v>
                </c:pt>
                <c:pt idx="18">
                  <c:v>74935.28571428571</c:v>
                </c:pt>
                <c:pt idx="19">
                  <c:v>46143.13636363636</c:v>
                </c:pt>
                <c:pt idx="20">
                  <c:v>45050.4375</c:v>
                </c:pt>
                <c:pt idx="21">
                  <c:v>95656</c:v>
                </c:pt>
                <c:pt idx="22">
                  <c:v>36188.5</c:v>
                </c:pt>
                <c:pt idx="23">
                  <c:v>44000</c:v>
                </c:pt>
                <c:pt idx="24">
                  <c:v>40812.368421052633</c:v>
                </c:pt>
                <c:pt idx="25">
                  <c:v>68269.461538461532</c:v>
                </c:pt>
                <c:pt idx="26">
                  <c:v>47660.4</c:v>
                </c:pt>
              </c:numCache>
            </c:numRef>
          </c:val>
          <c:extLst>
            <c:ext xmlns:c16="http://schemas.microsoft.com/office/drawing/2014/chart" uri="{C3380CC4-5D6E-409C-BE32-E72D297353CC}">
              <c16:uniqueId val="{00000001-DD9E-0944-9664-2902DB2BB2D9}"/>
            </c:ext>
          </c:extLst>
        </c:ser>
        <c:ser>
          <c:idx val="2"/>
          <c:order val="2"/>
          <c:tx>
            <c:strRef>
              <c:f>'Merit Increase Impact (2026)'!$D$4</c:f>
              <c:strCache>
                <c:ptCount val="1"/>
                <c:pt idx="0">
                  <c:v>Average Gross Salary (2026)</c:v>
                </c:pt>
              </c:strCache>
            </c:strRef>
          </c:tx>
          <c:spPr>
            <a:solidFill>
              <a:schemeClr val="accent3"/>
            </a:solidFill>
            <a:ln>
              <a:noFill/>
            </a:ln>
            <a:effectLst/>
          </c:spPr>
          <c:invertIfNegative val="0"/>
          <c:cat>
            <c:multiLvlStrRef>
              <c:f>'Merit Increase Impact (2026)'!$A$5:$A$38</c:f>
              <c:multiLvlStrCache>
                <c:ptCount val="27"/>
                <c:lvl>
                  <c:pt idx="0">
                    <c:v>1</c:v>
                  </c:pt>
                  <c:pt idx="1">
                    <c:v>2</c:v>
                  </c:pt>
                  <c:pt idx="2">
                    <c:v>3</c:v>
                  </c:pt>
                  <c:pt idx="3">
                    <c:v>4</c:v>
                  </c:pt>
                  <c:pt idx="4">
                    <c:v>5</c:v>
                  </c:pt>
                  <c:pt idx="5">
                    <c:v>2</c:v>
                  </c:pt>
                  <c:pt idx="6">
                    <c:v>3</c:v>
                  </c:pt>
                  <c:pt idx="7">
                    <c:v>4</c:v>
                  </c:pt>
                  <c:pt idx="8">
                    <c:v>5</c:v>
                  </c:pt>
                  <c:pt idx="9">
                    <c:v>2</c:v>
                  </c:pt>
                  <c:pt idx="10">
                    <c:v>3</c:v>
                  </c:pt>
                  <c:pt idx="11">
                    <c:v>4</c:v>
                  </c:pt>
                  <c:pt idx="12">
                    <c:v>5</c:v>
                  </c:pt>
                  <c:pt idx="13">
                    <c:v>1</c:v>
                  </c:pt>
                  <c:pt idx="14">
                    <c:v>2</c:v>
                  </c:pt>
                  <c:pt idx="15">
                    <c:v>3</c:v>
                  </c:pt>
                  <c:pt idx="16">
                    <c:v>4</c:v>
                  </c:pt>
                  <c:pt idx="17">
                    <c:v>5</c:v>
                  </c:pt>
                  <c:pt idx="18">
                    <c:v>2</c:v>
                  </c:pt>
                  <c:pt idx="19">
                    <c:v>3</c:v>
                  </c:pt>
                  <c:pt idx="20">
                    <c:v>4</c:v>
                  </c:pt>
                  <c:pt idx="21">
                    <c:v>5</c:v>
                  </c:pt>
                  <c:pt idx="22">
                    <c:v>1</c:v>
                  </c:pt>
                  <c:pt idx="23">
                    <c:v>2</c:v>
                  </c:pt>
                  <c:pt idx="24">
                    <c:v>3</c:v>
                  </c:pt>
                  <c:pt idx="25">
                    <c:v>4</c:v>
                  </c:pt>
                  <c:pt idx="26">
                    <c:v>5</c:v>
                  </c:pt>
                </c:lvl>
                <c:lvl>
                  <c:pt idx="0">
                    <c:v>Finance</c:v>
                  </c:pt>
                  <c:pt idx="5">
                    <c:v>HR</c:v>
                  </c:pt>
                  <c:pt idx="9">
                    <c:v>IT</c:v>
                  </c:pt>
                  <c:pt idx="13">
                    <c:v>Marketing</c:v>
                  </c:pt>
                  <c:pt idx="18">
                    <c:v>Operations</c:v>
                  </c:pt>
                  <c:pt idx="22">
                    <c:v>Sales</c:v>
                  </c:pt>
                </c:lvl>
              </c:multiLvlStrCache>
            </c:multiLvlStrRef>
          </c:cat>
          <c:val>
            <c:numRef>
              <c:f>'Merit Increase Impact (2026)'!$D$5:$D$38</c:f>
              <c:numCache>
                <c:formatCode>#,##0</c:formatCode>
                <c:ptCount val="27"/>
                <c:pt idx="0">
                  <c:v>39911</c:v>
                </c:pt>
                <c:pt idx="1">
                  <c:v>44205</c:v>
                </c:pt>
                <c:pt idx="2">
                  <c:v>55360.837083333339</c:v>
                </c:pt>
                <c:pt idx="3">
                  <c:v>66833.17833333333</c:v>
                </c:pt>
                <c:pt idx="4">
                  <c:v>57998.253333333334</c:v>
                </c:pt>
                <c:pt idx="5">
                  <c:v>44205</c:v>
                </c:pt>
                <c:pt idx="6">
                  <c:v>55547.846296296302</c:v>
                </c:pt>
                <c:pt idx="7">
                  <c:v>49350</c:v>
                </c:pt>
                <c:pt idx="8">
                  <c:v>63339.946666666663</c:v>
                </c:pt>
                <c:pt idx="9">
                  <c:v>88313</c:v>
                </c:pt>
                <c:pt idx="10">
                  <c:v>65838.416333333342</c:v>
                </c:pt>
                <c:pt idx="11">
                  <c:v>75974.646249999991</c:v>
                </c:pt>
                <c:pt idx="12">
                  <c:v>45738.592499999999</c:v>
                </c:pt>
                <c:pt idx="13">
                  <c:v>37429.333333333336</c:v>
                </c:pt>
                <c:pt idx="14">
                  <c:v>88313</c:v>
                </c:pt>
                <c:pt idx="15">
                  <c:v>55984.270666666671</c:v>
                </c:pt>
                <c:pt idx="16">
                  <c:v>89792.820833333317</c:v>
                </c:pt>
                <c:pt idx="17">
                  <c:v>42809.266000000003</c:v>
                </c:pt>
                <c:pt idx="18">
                  <c:v>75684.638571428572</c:v>
                </c:pt>
                <c:pt idx="19">
                  <c:v>47239.112272727274</c:v>
                </c:pt>
                <c:pt idx="20">
                  <c:v>46903.937500000007</c:v>
                </c:pt>
                <c:pt idx="21">
                  <c:v>101395.36</c:v>
                </c:pt>
                <c:pt idx="22">
                  <c:v>36188.5</c:v>
                </c:pt>
                <c:pt idx="23">
                  <c:v>44660</c:v>
                </c:pt>
                <c:pt idx="24">
                  <c:v>41965.703157894743</c:v>
                </c:pt>
                <c:pt idx="25">
                  <c:v>71101.009230769239</c:v>
                </c:pt>
                <c:pt idx="26">
                  <c:v>50360.37999999999</c:v>
                </c:pt>
              </c:numCache>
            </c:numRef>
          </c:val>
          <c:extLst>
            <c:ext xmlns:c16="http://schemas.microsoft.com/office/drawing/2014/chart" uri="{C3380CC4-5D6E-409C-BE32-E72D297353CC}">
              <c16:uniqueId val="{00000002-DD9E-0944-9664-2902DB2BB2D9}"/>
            </c:ext>
          </c:extLst>
        </c:ser>
        <c:ser>
          <c:idx val="3"/>
          <c:order val="3"/>
          <c:tx>
            <c:strRef>
              <c:f>'Merit Increase Impact (2026)'!$E$4</c:f>
              <c:strCache>
                <c:ptCount val="1"/>
                <c:pt idx="0">
                  <c:v>Sum of Gross Salary (2025)</c:v>
                </c:pt>
              </c:strCache>
            </c:strRef>
          </c:tx>
          <c:spPr>
            <a:solidFill>
              <a:schemeClr val="accent4"/>
            </a:solidFill>
            <a:ln>
              <a:noFill/>
            </a:ln>
            <a:effectLst/>
          </c:spPr>
          <c:invertIfNegative val="0"/>
          <c:cat>
            <c:multiLvlStrRef>
              <c:f>'Merit Increase Impact (2026)'!$A$5:$A$38</c:f>
              <c:multiLvlStrCache>
                <c:ptCount val="27"/>
                <c:lvl>
                  <c:pt idx="0">
                    <c:v>1</c:v>
                  </c:pt>
                  <c:pt idx="1">
                    <c:v>2</c:v>
                  </c:pt>
                  <c:pt idx="2">
                    <c:v>3</c:v>
                  </c:pt>
                  <c:pt idx="3">
                    <c:v>4</c:v>
                  </c:pt>
                  <c:pt idx="4">
                    <c:v>5</c:v>
                  </c:pt>
                  <c:pt idx="5">
                    <c:v>2</c:v>
                  </c:pt>
                  <c:pt idx="6">
                    <c:v>3</c:v>
                  </c:pt>
                  <c:pt idx="7">
                    <c:v>4</c:v>
                  </c:pt>
                  <c:pt idx="8">
                    <c:v>5</c:v>
                  </c:pt>
                  <c:pt idx="9">
                    <c:v>2</c:v>
                  </c:pt>
                  <c:pt idx="10">
                    <c:v>3</c:v>
                  </c:pt>
                  <c:pt idx="11">
                    <c:v>4</c:v>
                  </c:pt>
                  <c:pt idx="12">
                    <c:v>5</c:v>
                  </c:pt>
                  <c:pt idx="13">
                    <c:v>1</c:v>
                  </c:pt>
                  <c:pt idx="14">
                    <c:v>2</c:v>
                  </c:pt>
                  <c:pt idx="15">
                    <c:v>3</c:v>
                  </c:pt>
                  <c:pt idx="16">
                    <c:v>4</c:v>
                  </c:pt>
                  <c:pt idx="17">
                    <c:v>5</c:v>
                  </c:pt>
                  <c:pt idx="18">
                    <c:v>2</c:v>
                  </c:pt>
                  <c:pt idx="19">
                    <c:v>3</c:v>
                  </c:pt>
                  <c:pt idx="20">
                    <c:v>4</c:v>
                  </c:pt>
                  <c:pt idx="21">
                    <c:v>5</c:v>
                  </c:pt>
                  <c:pt idx="22">
                    <c:v>1</c:v>
                  </c:pt>
                  <c:pt idx="23">
                    <c:v>2</c:v>
                  </c:pt>
                  <c:pt idx="24">
                    <c:v>3</c:v>
                  </c:pt>
                  <c:pt idx="25">
                    <c:v>4</c:v>
                  </c:pt>
                  <c:pt idx="26">
                    <c:v>5</c:v>
                  </c:pt>
                </c:lvl>
                <c:lvl>
                  <c:pt idx="0">
                    <c:v>Finance</c:v>
                  </c:pt>
                  <c:pt idx="5">
                    <c:v>HR</c:v>
                  </c:pt>
                  <c:pt idx="9">
                    <c:v>IT</c:v>
                  </c:pt>
                  <c:pt idx="13">
                    <c:v>Marketing</c:v>
                  </c:pt>
                  <c:pt idx="18">
                    <c:v>Operations</c:v>
                  </c:pt>
                  <c:pt idx="22">
                    <c:v>Sales</c:v>
                  </c:pt>
                </c:lvl>
              </c:multiLvlStrCache>
            </c:multiLvlStrRef>
          </c:cat>
          <c:val>
            <c:numRef>
              <c:f>'Merit Increase Impact (2026)'!$E$5:$E$38</c:f>
              <c:numCache>
                <c:formatCode>#,##0</c:formatCode>
                <c:ptCount val="27"/>
                <c:pt idx="0">
                  <c:v>39911</c:v>
                </c:pt>
                <c:pt idx="1">
                  <c:v>348000</c:v>
                </c:pt>
                <c:pt idx="2">
                  <c:v>1299806</c:v>
                </c:pt>
                <c:pt idx="3">
                  <c:v>393155</c:v>
                </c:pt>
                <c:pt idx="4">
                  <c:v>164146</c:v>
                </c:pt>
                <c:pt idx="5">
                  <c:v>174000</c:v>
                </c:pt>
                <c:pt idx="6">
                  <c:v>1463602</c:v>
                </c:pt>
                <c:pt idx="7">
                  <c:v>47000</c:v>
                </c:pt>
                <c:pt idx="8">
                  <c:v>179264</c:v>
                </c:pt>
                <c:pt idx="9">
                  <c:v>441565</c:v>
                </c:pt>
                <c:pt idx="10">
                  <c:v>1940782</c:v>
                </c:pt>
                <c:pt idx="11">
                  <c:v>597128</c:v>
                </c:pt>
                <c:pt idx="12">
                  <c:v>346703</c:v>
                </c:pt>
                <c:pt idx="13">
                  <c:v>112288</c:v>
                </c:pt>
                <c:pt idx="14">
                  <c:v>176626</c:v>
                </c:pt>
                <c:pt idx="15">
                  <c:v>822491</c:v>
                </c:pt>
                <c:pt idx="16">
                  <c:v>530795</c:v>
                </c:pt>
                <c:pt idx="17">
                  <c:v>403861</c:v>
                </c:pt>
                <c:pt idx="18">
                  <c:v>524547</c:v>
                </c:pt>
                <c:pt idx="19">
                  <c:v>1015149</c:v>
                </c:pt>
                <c:pt idx="20">
                  <c:v>720807</c:v>
                </c:pt>
                <c:pt idx="21">
                  <c:v>95656</c:v>
                </c:pt>
                <c:pt idx="22">
                  <c:v>72377</c:v>
                </c:pt>
                <c:pt idx="23">
                  <c:v>44000</c:v>
                </c:pt>
                <c:pt idx="24">
                  <c:v>775435</c:v>
                </c:pt>
                <c:pt idx="25">
                  <c:v>887503</c:v>
                </c:pt>
                <c:pt idx="26">
                  <c:v>238302</c:v>
                </c:pt>
              </c:numCache>
            </c:numRef>
          </c:val>
          <c:extLst>
            <c:ext xmlns:c16="http://schemas.microsoft.com/office/drawing/2014/chart" uri="{C3380CC4-5D6E-409C-BE32-E72D297353CC}">
              <c16:uniqueId val="{00000000-763A-0946-AF2F-5BD61D4A68F3}"/>
            </c:ext>
          </c:extLst>
        </c:ser>
        <c:ser>
          <c:idx val="4"/>
          <c:order val="4"/>
          <c:tx>
            <c:strRef>
              <c:f>'Merit Increase Impact (2026)'!$F$4</c:f>
              <c:strCache>
                <c:ptCount val="1"/>
                <c:pt idx="0">
                  <c:v>Sum of Gross Salary (2026)</c:v>
                </c:pt>
              </c:strCache>
            </c:strRef>
          </c:tx>
          <c:spPr>
            <a:solidFill>
              <a:schemeClr val="accent5"/>
            </a:solidFill>
            <a:ln>
              <a:noFill/>
            </a:ln>
            <a:effectLst/>
          </c:spPr>
          <c:invertIfNegative val="0"/>
          <c:cat>
            <c:multiLvlStrRef>
              <c:f>'Merit Increase Impact (2026)'!$A$5:$A$38</c:f>
              <c:multiLvlStrCache>
                <c:ptCount val="27"/>
                <c:lvl>
                  <c:pt idx="0">
                    <c:v>1</c:v>
                  </c:pt>
                  <c:pt idx="1">
                    <c:v>2</c:v>
                  </c:pt>
                  <c:pt idx="2">
                    <c:v>3</c:v>
                  </c:pt>
                  <c:pt idx="3">
                    <c:v>4</c:v>
                  </c:pt>
                  <c:pt idx="4">
                    <c:v>5</c:v>
                  </c:pt>
                  <c:pt idx="5">
                    <c:v>2</c:v>
                  </c:pt>
                  <c:pt idx="6">
                    <c:v>3</c:v>
                  </c:pt>
                  <c:pt idx="7">
                    <c:v>4</c:v>
                  </c:pt>
                  <c:pt idx="8">
                    <c:v>5</c:v>
                  </c:pt>
                  <c:pt idx="9">
                    <c:v>2</c:v>
                  </c:pt>
                  <c:pt idx="10">
                    <c:v>3</c:v>
                  </c:pt>
                  <c:pt idx="11">
                    <c:v>4</c:v>
                  </c:pt>
                  <c:pt idx="12">
                    <c:v>5</c:v>
                  </c:pt>
                  <c:pt idx="13">
                    <c:v>1</c:v>
                  </c:pt>
                  <c:pt idx="14">
                    <c:v>2</c:v>
                  </c:pt>
                  <c:pt idx="15">
                    <c:v>3</c:v>
                  </c:pt>
                  <c:pt idx="16">
                    <c:v>4</c:v>
                  </c:pt>
                  <c:pt idx="17">
                    <c:v>5</c:v>
                  </c:pt>
                  <c:pt idx="18">
                    <c:v>2</c:v>
                  </c:pt>
                  <c:pt idx="19">
                    <c:v>3</c:v>
                  </c:pt>
                  <c:pt idx="20">
                    <c:v>4</c:v>
                  </c:pt>
                  <c:pt idx="21">
                    <c:v>5</c:v>
                  </c:pt>
                  <c:pt idx="22">
                    <c:v>1</c:v>
                  </c:pt>
                  <c:pt idx="23">
                    <c:v>2</c:v>
                  </c:pt>
                  <c:pt idx="24">
                    <c:v>3</c:v>
                  </c:pt>
                  <c:pt idx="25">
                    <c:v>4</c:v>
                  </c:pt>
                  <c:pt idx="26">
                    <c:v>5</c:v>
                  </c:pt>
                </c:lvl>
                <c:lvl>
                  <c:pt idx="0">
                    <c:v>Finance</c:v>
                  </c:pt>
                  <c:pt idx="5">
                    <c:v>HR</c:v>
                  </c:pt>
                  <c:pt idx="9">
                    <c:v>IT</c:v>
                  </c:pt>
                  <c:pt idx="13">
                    <c:v>Marketing</c:v>
                  </c:pt>
                  <c:pt idx="18">
                    <c:v>Operations</c:v>
                  </c:pt>
                  <c:pt idx="22">
                    <c:v>Sales</c:v>
                  </c:pt>
                </c:lvl>
              </c:multiLvlStrCache>
            </c:multiLvlStrRef>
          </c:cat>
          <c:val>
            <c:numRef>
              <c:f>'Merit Increase Impact (2026)'!$F$5:$F$38</c:f>
              <c:numCache>
                <c:formatCode>#,##0</c:formatCode>
                <c:ptCount val="27"/>
                <c:pt idx="0">
                  <c:v>39911</c:v>
                </c:pt>
                <c:pt idx="1">
                  <c:v>353640</c:v>
                </c:pt>
                <c:pt idx="2">
                  <c:v>1328660.0900000001</c:v>
                </c:pt>
                <c:pt idx="3">
                  <c:v>400999.07</c:v>
                </c:pt>
                <c:pt idx="4">
                  <c:v>173994.76</c:v>
                </c:pt>
                <c:pt idx="5">
                  <c:v>176820</c:v>
                </c:pt>
                <c:pt idx="6">
                  <c:v>1499791.85</c:v>
                </c:pt>
                <c:pt idx="7">
                  <c:v>49350</c:v>
                </c:pt>
                <c:pt idx="8">
                  <c:v>190019.84</c:v>
                </c:pt>
                <c:pt idx="9">
                  <c:v>441565</c:v>
                </c:pt>
                <c:pt idx="10">
                  <c:v>1975152.4900000002</c:v>
                </c:pt>
                <c:pt idx="11">
                  <c:v>607797.16999999993</c:v>
                </c:pt>
                <c:pt idx="12">
                  <c:v>365908.74</c:v>
                </c:pt>
                <c:pt idx="13">
                  <c:v>112288</c:v>
                </c:pt>
                <c:pt idx="14">
                  <c:v>176626</c:v>
                </c:pt>
                <c:pt idx="15">
                  <c:v>839764.06</c:v>
                </c:pt>
                <c:pt idx="16">
                  <c:v>538756.92499999993</c:v>
                </c:pt>
                <c:pt idx="17">
                  <c:v>428092.66000000003</c:v>
                </c:pt>
                <c:pt idx="18">
                  <c:v>529792.47</c:v>
                </c:pt>
                <c:pt idx="19">
                  <c:v>1039260.47</c:v>
                </c:pt>
                <c:pt idx="20">
                  <c:v>750463.00000000012</c:v>
                </c:pt>
                <c:pt idx="21">
                  <c:v>101395.36</c:v>
                </c:pt>
                <c:pt idx="22">
                  <c:v>72377</c:v>
                </c:pt>
                <c:pt idx="23">
                  <c:v>44660</c:v>
                </c:pt>
                <c:pt idx="24">
                  <c:v>797348.3600000001</c:v>
                </c:pt>
                <c:pt idx="25">
                  <c:v>924313.12000000011</c:v>
                </c:pt>
                <c:pt idx="26">
                  <c:v>251801.89999999997</c:v>
                </c:pt>
              </c:numCache>
            </c:numRef>
          </c:val>
          <c:extLst>
            <c:ext xmlns:c16="http://schemas.microsoft.com/office/drawing/2014/chart" uri="{C3380CC4-5D6E-409C-BE32-E72D297353CC}">
              <c16:uniqueId val="{00000002-763A-0946-AF2F-5BD61D4A68F3}"/>
            </c:ext>
          </c:extLst>
        </c:ser>
        <c:ser>
          <c:idx val="5"/>
          <c:order val="5"/>
          <c:tx>
            <c:strRef>
              <c:f>'Merit Increase Impact (2026)'!$G$4</c:f>
              <c:strCache>
                <c:ptCount val="1"/>
                <c:pt idx="0">
                  <c:v>Sum of % Budget Increase</c:v>
                </c:pt>
              </c:strCache>
            </c:strRef>
          </c:tx>
          <c:spPr>
            <a:solidFill>
              <a:schemeClr val="accent6"/>
            </a:solidFill>
            <a:ln>
              <a:noFill/>
            </a:ln>
            <a:effectLst/>
          </c:spPr>
          <c:invertIfNegative val="0"/>
          <c:cat>
            <c:multiLvlStrRef>
              <c:f>'Merit Increase Impact (2026)'!$A$5:$A$38</c:f>
              <c:multiLvlStrCache>
                <c:ptCount val="27"/>
                <c:lvl>
                  <c:pt idx="0">
                    <c:v>1</c:v>
                  </c:pt>
                  <c:pt idx="1">
                    <c:v>2</c:v>
                  </c:pt>
                  <c:pt idx="2">
                    <c:v>3</c:v>
                  </c:pt>
                  <c:pt idx="3">
                    <c:v>4</c:v>
                  </c:pt>
                  <c:pt idx="4">
                    <c:v>5</c:v>
                  </c:pt>
                  <c:pt idx="5">
                    <c:v>2</c:v>
                  </c:pt>
                  <c:pt idx="6">
                    <c:v>3</c:v>
                  </c:pt>
                  <c:pt idx="7">
                    <c:v>4</c:v>
                  </c:pt>
                  <c:pt idx="8">
                    <c:v>5</c:v>
                  </c:pt>
                  <c:pt idx="9">
                    <c:v>2</c:v>
                  </c:pt>
                  <c:pt idx="10">
                    <c:v>3</c:v>
                  </c:pt>
                  <c:pt idx="11">
                    <c:v>4</c:v>
                  </c:pt>
                  <c:pt idx="12">
                    <c:v>5</c:v>
                  </c:pt>
                  <c:pt idx="13">
                    <c:v>1</c:v>
                  </c:pt>
                  <c:pt idx="14">
                    <c:v>2</c:v>
                  </c:pt>
                  <c:pt idx="15">
                    <c:v>3</c:v>
                  </c:pt>
                  <c:pt idx="16">
                    <c:v>4</c:v>
                  </c:pt>
                  <c:pt idx="17">
                    <c:v>5</c:v>
                  </c:pt>
                  <c:pt idx="18">
                    <c:v>2</c:v>
                  </c:pt>
                  <c:pt idx="19">
                    <c:v>3</c:v>
                  </c:pt>
                  <c:pt idx="20">
                    <c:v>4</c:v>
                  </c:pt>
                  <c:pt idx="21">
                    <c:v>5</c:v>
                  </c:pt>
                  <c:pt idx="22">
                    <c:v>1</c:v>
                  </c:pt>
                  <c:pt idx="23">
                    <c:v>2</c:v>
                  </c:pt>
                  <c:pt idx="24">
                    <c:v>3</c:v>
                  </c:pt>
                  <c:pt idx="25">
                    <c:v>4</c:v>
                  </c:pt>
                  <c:pt idx="26">
                    <c:v>5</c:v>
                  </c:pt>
                </c:lvl>
                <c:lvl>
                  <c:pt idx="0">
                    <c:v>Finance</c:v>
                  </c:pt>
                  <c:pt idx="5">
                    <c:v>HR</c:v>
                  </c:pt>
                  <c:pt idx="9">
                    <c:v>IT</c:v>
                  </c:pt>
                  <c:pt idx="13">
                    <c:v>Marketing</c:v>
                  </c:pt>
                  <c:pt idx="18">
                    <c:v>Operations</c:v>
                  </c:pt>
                  <c:pt idx="22">
                    <c:v>Sales</c:v>
                  </c:pt>
                </c:lvl>
              </c:multiLvlStrCache>
            </c:multiLvlStrRef>
          </c:cat>
          <c:val>
            <c:numRef>
              <c:f>'Merit Increase Impact (2026)'!$G$5:$G$38</c:f>
              <c:numCache>
                <c:formatCode>0.00%</c:formatCode>
                <c:ptCount val="27"/>
                <c:pt idx="0">
                  <c:v>0</c:v>
                </c:pt>
                <c:pt idx="1">
                  <c:v>1.6206896551724137E-2</c:v>
                </c:pt>
                <c:pt idx="2">
                  <c:v>2.2198766585167388E-2</c:v>
                </c:pt>
                <c:pt idx="3">
                  <c:v>1.9951596698503153E-2</c:v>
                </c:pt>
                <c:pt idx="4">
                  <c:v>6.0000000000000053E-2</c:v>
                </c:pt>
                <c:pt idx="5">
                  <c:v>1.6206896551724137E-2</c:v>
                </c:pt>
                <c:pt idx="6">
                  <c:v>2.4726565008793437E-2</c:v>
                </c:pt>
                <c:pt idx="7">
                  <c:v>0.05</c:v>
                </c:pt>
                <c:pt idx="8">
                  <c:v>5.9999999999999984E-2</c:v>
                </c:pt>
                <c:pt idx="9">
                  <c:v>0</c:v>
                </c:pt>
                <c:pt idx="10">
                  <c:v>1.7709608807171658E-2</c:v>
                </c:pt>
                <c:pt idx="11">
                  <c:v>1.7867475650111743E-2</c:v>
                </c:pt>
                <c:pt idx="12">
                  <c:v>5.5395367216320573E-2</c:v>
                </c:pt>
                <c:pt idx="13">
                  <c:v>0</c:v>
                </c:pt>
                <c:pt idx="14">
                  <c:v>0</c:v>
                </c:pt>
                <c:pt idx="15">
                  <c:v>2.100091064826248E-2</c:v>
                </c:pt>
                <c:pt idx="16">
                  <c:v>1.4999999999999868E-2</c:v>
                </c:pt>
                <c:pt idx="17">
                  <c:v>6.0000000000000081E-2</c:v>
                </c:pt>
                <c:pt idx="18">
                  <c:v>9.9999999999999464E-3</c:v>
                </c:pt>
                <c:pt idx="19">
                  <c:v>2.3751656160819715E-2</c:v>
                </c:pt>
                <c:pt idx="20">
                  <c:v>4.1142774695584416E-2</c:v>
                </c:pt>
                <c:pt idx="21">
                  <c:v>6.0000000000000005E-2</c:v>
                </c:pt>
                <c:pt idx="22">
                  <c:v>0</c:v>
                </c:pt>
                <c:pt idx="23">
                  <c:v>1.4999999999999999E-2</c:v>
                </c:pt>
                <c:pt idx="24">
                  <c:v>2.8259441474785253E-2</c:v>
                </c:pt>
                <c:pt idx="25">
                  <c:v>4.1476051348558945E-2</c:v>
                </c:pt>
                <c:pt idx="26">
                  <c:v>5.6650384805834467E-2</c:v>
                </c:pt>
              </c:numCache>
            </c:numRef>
          </c:val>
          <c:extLst>
            <c:ext xmlns:c16="http://schemas.microsoft.com/office/drawing/2014/chart" uri="{C3380CC4-5D6E-409C-BE32-E72D297353CC}">
              <c16:uniqueId val="{00000003-763A-0946-AF2F-5BD61D4A68F3}"/>
            </c:ext>
          </c:extLst>
        </c:ser>
        <c:dLbls>
          <c:showLegendKey val="0"/>
          <c:showVal val="0"/>
          <c:showCatName val="0"/>
          <c:showSerName val="0"/>
          <c:showPercent val="0"/>
          <c:showBubbleSize val="0"/>
        </c:dLbls>
        <c:gapWidth val="174"/>
        <c:axId val="485582031"/>
        <c:axId val="2012001664"/>
      </c:barChart>
      <c:catAx>
        <c:axId val="48558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001664"/>
        <c:crosses val="autoZero"/>
        <c:auto val="1"/>
        <c:lblAlgn val="ctr"/>
        <c:lblOffset val="100"/>
        <c:noMultiLvlLbl val="0"/>
      </c:catAx>
      <c:valAx>
        <c:axId val="201200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582031"/>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317500</xdr:colOff>
      <xdr:row>1</xdr:row>
      <xdr:rowOff>165100</xdr:rowOff>
    </xdr:from>
    <xdr:to>
      <xdr:col>17</xdr:col>
      <xdr:colOff>1358900</xdr:colOff>
      <xdr:row>38</xdr:row>
      <xdr:rowOff>38100</xdr:rowOff>
    </xdr:to>
    <xdr:graphicFrame macro="">
      <xdr:nvGraphicFramePr>
        <xdr:cNvPr id="5" name="Chart 4">
          <a:extLst>
            <a:ext uri="{FF2B5EF4-FFF2-40B4-BE49-F238E27FC236}">
              <a16:creationId xmlns:a16="http://schemas.microsoft.com/office/drawing/2014/main" id="{BA8F1457-2243-D59E-C78E-39491B54C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914400</xdr:colOff>
      <xdr:row>2</xdr:row>
      <xdr:rowOff>177800</xdr:rowOff>
    </xdr:from>
    <xdr:to>
      <xdr:col>17</xdr:col>
      <xdr:colOff>1079500</xdr:colOff>
      <xdr:row>14</xdr:row>
      <xdr:rowOff>53969</xdr:rowOff>
    </xdr:to>
    <mc:AlternateContent xmlns:mc="http://schemas.openxmlformats.org/markup-compatibility/2006" xmlns:a14="http://schemas.microsoft.com/office/drawing/2010/main">
      <mc:Choice Requires="a14">
        <xdr:graphicFrame macro="">
          <xdr:nvGraphicFramePr>
            <xdr:cNvPr id="2" name="Department 1">
              <a:extLst>
                <a:ext uri="{FF2B5EF4-FFF2-40B4-BE49-F238E27FC236}">
                  <a16:creationId xmlns:a16="http://schemas.microsoft.com/office/drawing/2014/main" id="{0CDE2413-B68B-F320-83D4-3AFF9E325A2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808200" y="838200"/>
              <a:ext cx="1828800" cy="23780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lin Cigdem Öztürk" refreshedDate="46080.918819791666" createdVersion="8" refreshedVersion="8" minRefreshableVersion="3" recordCount="250" xr:uid="{C060A550-242F-9D43-9E1B-E2E86DC0631B}">
  <cacheSource type="worksheet">
    <worksheetSource name="Table13"/>
  </cacheSource>
  <cacheFields count="35">
    <cacheField name="Employee ID" numFmtId="0">
      <sharedItems containsSemiMixedTypes="0" containsString="0" containsNumber="1" containsInteger="1" minValue="1001" maxValue="1250"/>
    </cacheField>
    <cacheField name="Name" numFmtId="0">
      <sharedItems/>
    </cacheField>
    <cacheField name="Department" numFmtId="0">
      <sharedItems count="6">
        <s v="IT"/>
        <s v="HR"/>
        <s v="Finance"/>
        <s v="Marketing"/>
        <s v="Sales"/>
        <s v="Operations"/>
      </sharedItems>
    </cacheField>
    <cacheField name="Title" numFmtId="0">
      <sharedItems/>
    </cacheField>
    <cacheField name="Recruitment Date" numFmtId="14">
      <sharedItems containsSemiMixedTypes="0" containsNonDate="0" containsDate="1" containsString="0" minDate="2018-01-01T00:00:00" maxDate="2024-01-02T00:00:00"/>
    </cacheField>
    <cacheField name="Performance Manager" numFmtId="0">
      <sharedItems/>
    </cacheField>
    <cacheField name="Unit / Location" numFmtId="0">
      <sharedItems count="6">
        <s v="Malmö"/>
        <s v="Stockholm"/>
        <s v="Göteborg"/>
        <s v="Linköping"/>
        <s v="Örebro"/>
        <s v="Umeå"/>
      </sharedItems>
    </cacheField>
    <cacheField name="Country" numFmtId="0">
      <sharedItems/>
    </cacheField>
    <cacheField name="Employment Type" numFmtId="0">
      <sharedItems/>
    </cacheField>
    <cacheField name="Job Level " numFmtId="0">
      <sharedItems/>
    </cacheField>
    <cacheField name="Job Grade" numFmtId="0">
      <sharedItems/>
    </cacheField>
    <cacheField name="Monthly Gross Salary" numFmtId="3">
      <sharedItems containsSemiMixedTypes="0" containsString="0" containsNumber="1" containsInteger="1" minValue="30348" maxValue="95656"/>
    </cacheField>
    <cacheField name="Pay Frequency" numFmtId="3">
      <sharedItems/>
    </cacheField>
    <cacheField name="Min" numFmtId="3">
      <sharedItems containsSemiMixedTypes="0" containsString="0" containsNumber="1" containsInteger="1" minValue="30000" maxValue="66959"/>
    </cacheField>
    <cacheField name="Mid" numFmtId="3">
      <sharedItems containsSemiMixedTypes="0" containsString="0" containsNumber="1" containsInteger="1" minValue="35000" maxValue="95656"/>
    </cacheField>
    <cacheField name="Max" numFmtId="3">
      <sharedItems containsSemiMixedTypes="0" containsString="0" containsNumber="1" containsInteger="1" minValue="40000" maxValue="124353"/>
    </cacheField>
    <cacheField name="Compa_Ratio_x000a_(GrossSalary/Mid)" numFmtId="4">
      <sharedItems containsSemiMixedTypes="0" containsString="0" containsNumber="1" minValue="0.84" maxValue="1.1981333333333333"/>
    </cacheField>
    <cacheField name="Compa-Ratio Group" numFmtId="3">
      <sharedItems/>
    </cacheField>
    <cacheField name="Performance" numFmtId="3">
      <sharedItems containsSemiMixedTypes="0" containsString="0" containsNumber="1" containsInteger="1" minValue="1" maxValue="5" count="5">
        <n v="4"/>
        <n v="3"/>
        <n v="5"/>
        <n v="1"/>
        <n v="2"/>
      </sharedItems>
    </cacheField>
    <cacheField name="Salary increase %" numFmtId="164">
      <sharedItems containsSemiMixedTypes="0" containsString="0" containsNumber="1" minValue="0" maxValue="0.06"/>
    </cacheField>
    <cacheField name="Salary increase Amount" numFmtId="4">
      <sharedItems containsSemiMixedTypes="0" containsString="0" containsNumber="1" minValue="0" maxValue="5739.36"/>
    </cacheField>
    <cacheField name="New Gross Salary" numFmtId="3">
      <sharedItems containsSemiMixedTypes="0" containsString="0" containsNumber="1" minValue="31865.4" maxValue="101395.36"/>
    </cacheField>
    <cacheField name="STI %" numFmtId="9">
      <sharedItems containsSemiMixedTypes="0" containsString="0" containsNumber="1" minValue="0.1" maxValue="0.25"/>
    </cacheField>
    <cacheField name="Target STI" numFmtId="3">
      <sharedItems containsSemiMixedTypes="0" containsString="0" containsNumber="1" minValue="3186.5400000000004" maxValue="25348.84"/>
    </cacheField>
    <cacheField name="Multiplier" numFmtId="165">
      <sharedItems containsSemiMixedTypes="0" containsString="0" containsNumber="1" minValue="0" maxValue="1.5"/>
    </cacheField>
    <cacheField name="Final STI" numFmtId="3">
      <sharedItems containsSemiMixedTypes="0" containsString="0" containsNumber="1" minValue="0" maxValue="38023.26"/>
    </cacheField>
    <cacheField name="Tax %" numFmtId="9">
      <sharedItems containsSemiMixedTypes="0" containsString="0" containsNumber="1" minValue="0.27" maxValue="0.32"/>
    </cacheField>
    <cacheField name="Benefit Plan" numFmtId="0">
      <sharedItems/>
    </cacheField>
    <cacheField name="Tax Amount_x000a_(New Gross Salary + Final STI)*Tax %)" numFmtId="4">
      <sharedItems containsSemiMixedTypes="0" containsString="0" containsNumber="1" minValue="9090.4800000000014" maxValue="44613.958399999996"/>
    </cacheField>
    <cacheField name="Pension _x000a_(New Gross Salary*5%)" numFmtId="4">
      <sharedItems containsSemiMixedTypes="0" containsString="0" containsNumber="1" minValue="1593.2700000000002" maxValue="5069.768"/>
    </cacheField>
    <cacheField name="Health Premium_x000a_(A/B/C)" numFmtId="0">
      <sharedItems containsSemiMixedTypes="0" containsString="0" containsNumber="1" containsInteger="1" minValue="500" maxValue="1200"/>
    </cacheField>
    <cacheField name="Total Deductions_x000a_(Tax+Pension+HP)" numFmtId="4">
      <sharedItems containsSemiMixedTypes="0" containsString="0" containsNumber="1" minValue="11213.780000000002" maxValue="50483.7264"/>
    </cacheField>
    <cacheField name="Net Pay_x000a_(New Gross Salary+Final STI-Total Deductions)" numFmtId="4">
      <sharedItems containsSemiMixedTypes="0" containsString="0" containsNumber="1" minValue="19953.579999999998" maxValue="92023.266000000003"/>
    </cacheField>
    <cacheField name="% Increase" numFmtId="0" formula="('New Gross Salary'-'Monthly Gross Salary')/'Monthly Gross Salary'" databaseField="0"/>
    <cacheField name="% Budget Increase" numFmtId="0" formula=" ('New Gross Salary'-'Monthly Gross Salary') /'Monthly Gross Salary'" databaseField="0"/>
  </cacheFields>
  <extLst>
    <ext xmlns:x14="http://schemas.microsoft.com/office/spreadsheetml/2009/9/main" uri="{725AE2AE-9491-48be-B2B4-4EB974FC3084}">
      <x14:pivotCacheDefinition pivotCacheId="20493331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n v="1001"/>
    <s v="Employee 1"/>
    <x v="0"/>
    <s v="IT Specialist"/>
    <d v="2023-01-01T00:00:00"/>
    <s v="Manager 1"/>
    <x v="0"/>
    <s v="Sweden"/>
    <s v="Full time"/>
    <s v="Level 2"/>
    <s v="G5"/>
    <n v="34245"/>
    <s v="Monthly"/>
    <n v="30000"/>
    <n v="35000"/>
    <n v="40000"/>
    <n v="0.97842857142857143"/>
    <s v="Around Mid"/>
    <x v="0"/>
    <n v="0.04"/>
    <n v="1369.8"/>
    <n v="35614.800000000003"/>
    <n v="0.1"/>
    <n v="3561.4800000000005"/>
    <n v="1.2"/>
    <n v="4273.7760000000007"/>
    <n v="0.28999999999999998"/>
    <s v="C"/>
    <n v="11567.687039999999"/>
    <n v="1780.7400000000002"/>
    <n v="1200"/>
    <n v="14548.427039999999"/>
    <n v="25340.148960000002"/>
  </r>
  <r>
    <n v="1002"/>
    <s v="Employee 2"/>
    <x v="1"/>
    <s v="HR Specialist"/>
    <d v="2024-01-01T00:00:00"/>
    <s v="Manager 2"/>
    <x v="1"/>
    <s v="Sweden"/>
    <s v="Full time"/>
    <s v="Level 2"/>
    <s v="G6"/>
    <n v="41804"/>
    <s v="Monthly"/>
    <n v="35000"/>
    <n v="40000"/>
    <n v="45000"/>
    <n v="1.0450999999999999"/>
    <s v="Around Mid"/>
    <x v="1"/>
    <n v="2.5000000000000001E-2"/>
    <n v="1045.1000000000001"/>
    <n v="42849.1"/>
    <n v="0.1"/>
    <n v="4284.91"/>
    <n v="1"/>
    <n v="4284.91"/>
    <n v="0.27"/>
    <s v="B"/>
    <n v="12726.182699999999"/>
    <n v="2142.4549999999999"/>
    <n v="800"/>
    <n v="15668.637699999999"/>
    <n v="31465.372299999995"/>
  </r>
  <r>
    <n v="1003"/>
    <s v="Employee 3"/>
    <x v="2"/>
    <s v="Finance Specialist"/>
    <d v="2024-01-01T00:00:00"/>
    <s v="Manager 3"/>
    <x v="2"/>
    <s v="Sweden"/>
    <s v="Full time"/>
    <s v="Level 2"/>
    <s v="G5"/>
    <n v="34245"/>
    <s v="Monthly"/>
    <n v="30000"/>
    <n v="35000"/>
    <n v="40000"/>
    <n v="0.97842857142857143"/>
    <s v="Around Mid"/>
    <x v="1"/>
    <n v="2.5000000000000001E-2"/>
    <n v="856.125"/>
    <n v="35101.125"/>
    <n v="0.1"/>
    <n v="3510.1125000000002"/>
    <n v="1"/>
    <n v="3510.1125000000002"/>
    <n v="0.31"/>
    <s v="B"/>
    <n v="11969.483625000001"/>
    <n v="1755.0562500000001"/>
    <n v="800"/>
    <n v="14524.539875"/>
    <n v="24086.697625000001"/>
  </r>
  <r>
    <n v="1004"/>
    <s v="Employee 4"/>
    <x v="0"/>
    <s v="IT Specialist"/>
    <d v="2023-01-01T00:00:00"/>
    <s v="Manager 4"/>
    <x v="3"/>
    <s v="Sweden"/>
    <s v="Full time"/>
    <s v="Level 2"/>
    <s v="G5"/>
    <n v="34245"/>
    <s v="Monthly"/>
    <n v="30000"/>
    <n v="35000"/>
    <n v="40000"/>
    <n v="0.97842857142857143"/>
    <s v="Around Mid"/>
    <x v="0"/>
    <n v="0.04"/>
    <n v="1369.8"/>
    <n v="35614.800000000003"/>
    <n v="0.1"/>
    <n v="3561.4800000000005"/>
    <n v="1.2"/>
    <n v="4273.7760000000007"/>
    <n v="0.28000000000000003"/>
    <s v="B"/>
    <n v="11168.801280000001"/>
    <n v="1780.7400000000002"/>
    <n v="800"/>
    <n v="13749.541280000001"/>
    <n v="26139.03472"/>
  </r>
  <r>
    <n v="1005"/>
    <s v="Employee 5"/>
    <x v="3"/>
    <s v="Marketing Specialist"/>
    <d v="2023-01-01T00:00:00"/>
    <s v="Manager 5"/>
    <x v="4"/>
    <s v="Sweden"/>
    <s v="Full time"/>
    <s v="Level 2"/>
    <s v="G5"/>
    <n v="34245"/>
    <s v="Monthly"/>
    <n v="30000"/>
    <n v="35000"/>
    <n v="40000"/>
    <n v="0.97842857142857143"/>
    <s v="Around Mid"/>
    <x v="2"/>
    <n v="0.06"/>
    <n v="2054.6999999999998"/>
    <n v="36299.699999999997"/>
    <n v="0.1"/>
    <n v="3629.97"/>
    <n v="1.5"/>
    <n v="5444.9549999999999"/>
    <n v="0.32"/>
    <s v="C"/>
    <n v="13358.2896"/>
    <n v="1814.9849999999999"/>
    <n v="1200"/>
    <n v="16373.274600000001"/>
    <n v="25371.380399999998"/>
  </r>
  <r>
    <n v="1006"/>
    <s v="Employee 6"/>
    <x v="3"/>
    <s v="Marketing Specialist"/>
    <d v="2023-01-01T00:00:00"/>
    <s v="Manager 6"/>
    <x v="1"/>
    <s v="Sweden"/>
    <s v="Full time"/>
    <s v="Level 2"/>
    <s v="G5"/>
    <n v="34245"/>
    <s v="Monthly"/>
    <n v="30000"/>
    <n v="35000"/>
    <n v="40000"/>
    <n v="0.97842857142857143"/>
    <s v="Around Mid"/>
    <x v="2"/>
    <n v="0.06"/>
    <n v="2054.6999999999998"/>
    <n v="36299.699999999997"/>
    <n v="0.1"/>
    <n v="3629.97"/>
    <n v="1.5"/>
    <n v="5444.9549999999999"/>
    <n v="0.28000000000000003"/>
    <s v="C"/>
    <n v="11688.503400000001"/>
    <n v="1814.9849999999999"/>
    <n v="1200"/>
    <n v="14703.488400000002"/>
    <n v="27041.166599999997"/>
  </r>
  <r>
    <n v="1007"/>
    <s v="Employee 7"/>
    <x v="4"/>
    <s v="Sales Specialist"/>
    <d v="2024-01-01T00:00:00"/>
    <s v="Manager 7"/>
    <x v="2"/>
    <s v="Sweden"/>
    <s v="Full time"/>
    <s v="Level 2"/>
    <s v="G5"/>
    <n v="34245"/>
    <s v="Monthly"/>
    <n v="30000"/>
    <n v="35000"/>
    <n v="40000"/>
    <n v="0.97842857142857143"/>
    <s v="Around Mid"/>
    <x v="2"/>
    <n v="0.06"/>
    <n v="2054.6999999999998"/>
    <n v="36299.699999999997"/>
    <n v="0.1"/>
    <n v="3629.97"/>
    <n v="1.5"/>
    <n v="5444.9549999999999"/>
    <n v="0.28999999999999998"/>
    <s v="A"/>
    <n v="12105.949949999998"/>
    <n v="1814.9849999999999"/>
    <n v="500"/>
    <n v="14420.934949999999"/>
    <n v="27323.72005"/>
  </r>
  <r>
    <n v="1008"/>
    <s v="Employee 8"/>
    <x v="0"/>
    <s v="IT Specialist"/>
    <d v="2023-01-01T00:00:00"/>
    <s v="Manager 8"/>
    <x v="1"/>
    <s v="Sweden"/>
    <s v="Full time"/>
    <s v="Level 2"/>
    <s v="G5"/>
    <n v="34245"/>
    <s v="Monthly"/>
    <n v="30000"/>
    <n v="35000"/>
    <n v="40000"/>
    <n v="0.97842857142857143"/>
    <s v="Around Mid"/>
    <x v="2"/>
    <n v="0.06"/>
    <n v="2054.6999999999998"/>
    <n v="36299.699999999997"/>
    <n v="0.1"/>
    <n v="3629.97"/>
    <n v="1.5"/>
    <n v="5444.9549999999999"/>
    <n v="0.3"/>
    <s v="C"/>
    <n v="12523.396499999999"/>
    <n v="1814.9849999999999"/>
    <n v="1200"/>
    <n v="15538.3815"/>
    <n v="26206.273499999999"/>
  </r>
  <r>
    <n v="1009"/>
    <s v="Employee 9"/>
    <x v="4"/>
    <s v="Sales Specialist"/>
    <d v="2024-01-01T00:00:00"/>
    <s v="Manager 9"/>
    <x v="2"/>
    <s v="Sweden"/>
    <s v="Full time"/>
    <s v="Level 2"/>
    <s v="G5"/>
    <n v="34245"/>
    <s v="Monthly"/>
    <n v="30000"/>
    <n v="35000"/>
    <n v="40000"/>
    <n v="0.97842857142857143"/>
    <s v="Around Mid"/>
    <x v="2"/>
    <n v="0.06"/>
    <n v="2054.6999999999998"/>
    <n v="36299.699999999997"/>
    <n v="0.1"/>
    <n v="3629.97"/>
    <n v="1.5"/>
    <n v="5444.9549999999999"/>
    <n v="0.32"/>
    <s v="C"/>
    <n v="13358.2896"/>
    <n v="1814.9849999999999"/>
    <n v="1200"/>
    <n v="16373.274600000001"/>
    <n v="25371.380399999998"/>
  </r>
  <r>
    <n v="1010"/>
    <s v="Employee 10"/>
    <x v="2"/>
    <s v="Finance Specialist"/>
    <d v="2024-01-01T00:00:00"/>
    <s v="Manager 10"/>
    <x v="1"/>
    <s v="Sweden"/>
    <s v="Full time"/>
    <s v="Level 2"/>
    <s v="G5"/>
    <n v="34245"/>
    <s v="Monthly"/>
    <n v="30000"/>
    <n v="35000"/>
    <n v="40000"/>
    <n v="0.97842857142857143"/>
    <s v="Around Mid"/>
    <x v="2"/>
    <n v="0.06"/>
    <n v="2054.6999999999998"/>
    <n v="36299.699999999997"/>
    <n v="0.1"/>
    <n v="3629.97"/>
    <n v="1.5"/>
    <n v="5444.9549999999999"/>
    <n v="0.32"/>
    <s v="A"/>
    <n v="13358.2896"/>
    <n v="1814.9849999999999"/>
    <n v="500"/>
    <n v="15673.274600000001"/>
    <n v="26071.380399999998"/>
  </r>
  <r>
    <n v="1011"/>
    <s v="Employee 11"/>
    <x v="0"/>
    <s v="IT Specialist"/>
    <d v="2023-01-01T00:00:00"/>
    <s v="Manager 11"/>
    <x v="1"/>
    <s v="Sweden"/>
    <s v="Full time"/>
    <s v="Level 2"/>
    <s v="G5"/>
    <n v="34245"/>
    <s v="Monthly"/>
    <n v="30000"/>
    <n v="35000"/>
    <n v="40000"/>
    <n v="0.97842857142857143"/>
    <s v="Around Mid"/>
    <x v="2"/>
    <n v="0.06"/>
    <n v="2054.6999999999998"/>
    <n v="36299.699999999997"/>
    <n v="0.1"/>
    <n v="3629.97"/>
    <n v="1.5"/>
    <n v="5444.9549999999999"/>
    <n v="0.3"/>
    <s v="A"/>
    <n v="12523.396499999999"/>
    <n v="1814.9849999999999"/>
    <n v="500"/>
    <n v="14838.3815"/>
    <n v="26906.273499999999"/>
  </r>
  <r>
    <n v="1012"/>
    <s v="Employee 12"/>
    <x v="0"/>
    <s v="IT Specialist"/>
    <d v="2023-01-01T00:00:00"/>
    <s v="Manager 12"/>
    <x v="1"/>
    <s v="Sweden"/>
    <s v="Full time"/>
    <s v="Level 2"/>
    <s v="G5"/>
    <n v="34245"/>
    <s v="Monthly"/>
    <n v="30000"/>
    <n v="35000"/>
    <n v="40000"/>
    <n v="0.97842857142857143"/>
    <s v="Around Mid"/>
    <x v="2"/>
    <n v="0.06"/>
    <n v="2054.6999999999998"/>
    <n v="36299.699999999997"/>
    <n v="0.1"/>
    <n v="3629.97"/>
    <n v="1.5"/>
    <n v="5444.9549999999999"/>
    <n v="0.3"/>
    <s v="C"/>
    <n v="12523.396499999999"/>
    <n v="1814.9849999999999"/>
    <n v="1200"/>
    <n v="15538.3815"/>
    <n v="26206.273499999999"/>
  </r>
  <r>
    <n v="1013"/>
    <s v="Employee 13"/>
    <x v="2"/>
    <s v="Finance Specialist"/>
    <d v="2024-01-01T00:00:00"/>
    <s v="Manager 13"/>
    <x v="1"/>
    <s v="Sweden"/>
    <s v="Full time"/>
    <s v="Level 2"/>
    <s v="G5"/>
    <n v="34245"/>
    <s v="Monthly"/>
    <n v="30000"/>
    <n v="35000"/>
    <n v="40000"/>
    <n v="0.97842857142857143"/>
    <s v="Around Mid"/>
    <x v="2"/>
    <n v="0.06"/>
    <n v="2054.6999999999998"/>
    <n v="36299.699999999997"/>
    <n v="0.1"/>
    <n v="3629.97"/>
    <n v="1.5"/>
    <n v="5444.9549999999999"/>
    <n v="0.31"/>
    <s v="B"/>
    <n v="12940.843049999999"/>
    <n v="1814.9849999999999"/>
    <n v="800"/>
    <n v="15555.82805"/>
    <n v="26188.826949999999"/>
  </r>
  <r>
    <n v="1014"/>
    <s v="Employee 14"/>
    <x v="0"/>
    <s v="IT Specialist"/>
    <d v="2023-01-01T00:00:00"/>
    <s v="Manager 14"/>
    <x v="1"/>
    <s v="Sweden"/>
    <s v="Full time"/>
    <s v="Level 2"/>
    <s v="G5"/>
    <n v="34245"/>
    <s v="Monthly"/>
    <n v="30000"/>
    <n v="35000"/>
    <n v="40000"/>
    <n v="0.97842857142857143"/>
    <s v="Around Mid"/>
    <x v="2"/>
    <n v="0.06"/>
    <n v="2054.6999999999998"/>
    <n v="36299.699999999997"/>
    <n v="0.1"/>
    <n v="3629.97"/>
    <n v="1.5"/>
    <n v="5444.9549999999999"/>
    <n v="0.31"/>
    <s v="A"/>
    <n v="12940.843049999999"/>
    <n v="1814.9849999999999"/>
    <n v="500"/>
    <n v="15255.82805"/>
    <n v="26488.826949999999"/>
  </r>
  <r>
    <n v="1015"/>
    <s v="Employee 15"/>
    <x v="1"/>
    <s v="HR Specialist"/>
    <d v="2024-01-01T00:00:00"/>
    <s v="Manager 15"/>
    <x v="1"/>
    <s v="Sweden"/>
    <s v="Full time"/>
    <s v="Level 2"/>
    <s v="G6"/>
    <n v="41804"/>
    <s v="Monthly"/>
    <n v="35000"/>
    <n v="40000"/>
    <n v="45000"/>
    <n v="1.0450999999999999"/>
    <s v="Around Mid"/>
    <x v="2"/>
    <n v="0.06"/>
    <n v="2508.2399999999998"/>
    <n v="44312.24"/>
    <n v="0.1"/>
    <n v="4431.2240000000002"/>
    <n v="1.5"/>
    <n v="6646.8360000000002"/>
    <n v="0.32"/>
    <s v="B"/>
    <n v="16306.904320000001"/>
    <n v="2215.6120000000001"/>
    <n v="800"/>
    <n v="19322.516320000002"/>
    <n v="31636.559679999998"/>
  </r>
  <r>
    <n v="1016"/>
    <s v="Employee 16"/>
    <x v="3"/>
    <s v="Marketing Specialist"/>
    <d v="2023-01-01T00:00:00"/>
    <s v="Manager 16"/>
    <x v="1"/>
    <s v="Sweden"/>
    <s v="Full time"/>
    <s v="Level 2"/>
    <s v="G5"/>
    <n v="34245"/>
    <s v="Monthly"/>
    <n v="30000"/>
    <n v="35000"/>
    <n v="40000"/>
    <n v="0.97842857142857143"/>
    <s v="Around Mid"/>
    <x v="2"/>
    <n v="0.06"/>
    <n v="2054.6999999999998"/>
    <n v="36299.699999999997"/>
    <n v="0.1"/>
    <n v="3629.97"/>
    <n v="1.5"/>
    <n v="5444.9549999999999"/>
    <n v="0.32"/>
    <s v="C"/>
    <n v="13358.2896"/>
    <n v="1814.9849999999999"/>
    <n v="1200"/>
    <n v="16373.274600000001"/>
    <n v="25371.380399999998"/>
  </r>
  <r>
    <n v="1017"/>
    <s v="Employee 17"/>
    <x v="3"/>
    <s v="Marketing Specialist"/>
    <d v="2023-01-01T00:00:00"/>
    <s v="Manager 17"/>
    <x v="1"/>
    <s v="Sweden"/>
    <s v="Full time"/>
    <s v="Level 2"/>
    <s v="G5"/>
    <n v="34245"/>
    <s v="Monthly"/>
    <n v="30000"/>
    <n v="35000"/>
    <n v="40000"/>
    <n v="0.97842857142857143"/>
    <s v="Around Mid"/>
    <x v="2"/>
    <n v="0.06"/>
    <n v="2054.6999999999998"/>
    <n v="36299.699999999997"/>
    <n v="0.1"/>
    <n v="3629.97"/>
    <n v="1.5"/>
    <n v="5444.9549999999999"/>
    <n v="0.32"/>
    <s v="C"/>
    <n v="13358.2896"/>
    <n v="1814.9849999999999"/>
    <n v="1200"/>
    <n v="16373.274600000001"/>
    <n v="25371.380399999998"/>
  </r>
  <r>
    <n v="1018"/>
    <s v="Employee 18"/>
    <x v="4"/>
    <s v="Sales Specialist"/>
    <d v="2024-01-01T00:00:00"/>
    <s v="Manager 18"/>
    <x v="2"/>
    <s v="Sweden"/>
    <s v="Full time"/>
    <s v="Level 2"/>
    <s v="G5"/>
    <n v="34245"/>
    <s v="Monthly"/>
    <n v="30000"/>
    <n v="35000"/>
    <n v="40000"/>
    <n v="0.97842857142857143"/>
    <s v="Around Mid"/>
    <x v="2"/>
    <n v="0.06"/>
    <n v="2054.6999999999998"/>
    <n v="36299.699999999997"/>
    <n v="0.1"/>
    <n v="3629.97"/>
    <n v="1.5"/>
    <n v="5444.9549999999999"/>
    <n v="0.28000000000000003"/>
    <s v="C"/>
    <n v="11688.503400000001"/>
    <n v="1814.9849999999999"/>
    <n v="1200"/>
    <n v="14703.488400000002"/>
    <n v="27041.166599999997"/>
  </r>
  <r>
    <n v="1019"/>
    <s v="Employee 19"/>
    <x v="3"/>
    <s v="Marketing Specialist"/>
    <d v="2023-01-01T00:00:00"/>
    <s v="Manager 19"/>
    <x v="1"/>
    <s v="Sweden"/>
    <s v="Full time"/>
    <s v="Level 2"/>
    <s v="G5"/>
    <n v="34245"/>
    <s v="Monthly"/>
    <n v="30000"/>
    <n v="35000"/>
    <n v="40000"/>
    <n v="0.97842857142857143"/>
    <s v="Around Mid"/>
    <x v="2"/>
    <n v="0.06"/>
    <n v="2054.6999999999998"/>
    <n v="36299.699999999997"/>
    <n v="0.1"/>
    <n v="3629.97"/>
    <n v="1.5"/>
    <n v="5444.9549999999999"/>
    <n v="0.31"/>
    <s v="A"/>
    <n v="12940.843049999999"/>
    <n v="1814.9849999999999"/>
    <n v="500"/>
    <n v="15255.82805"/>
    <n v="26488.826949999999"/>
  </r>
  <r>
    <n v="1020"/>
    <s v="Employee 20"/>
    <x v="3"/>
    <s v="Marketing Specialist"/>
    <d v="2023-01-01T00:00:00"/>
    <s v="Manager 20"/>
    <x v="1"/>
    <s v="Sweden"/>
    <s v="Full time"/>
    <s v="Level 2"/>
    <s v="G5"/>
    <n v="34245"/>
    <s v="Monthly"/>
    <n v="30000"/>
    <n v="35000"/>
    <n v="40000"/>
    <n v="0.97842857142857143"/>
    <s v="Around Mid"/>
    <x v="2"/>
    <n v="0.06"/>
    <n v="2054.6999999999998"/>
    <n v="36299.699999999997"/>
    <n v="0.1"/>
    <n v="3629.97"/>
    <n v="1.5"/>
    <n v="5444.9549999999999"/>
    <n v="0.31"/>
    <s v="B"/>
    <n v="12940.843049999999"/>
    <n v="1814.9849999999999"/>
    <n v="800"/>
    <n v="15555.82805"/>
    <n v="26188.826949999999"/>
  </r>
  <r>
    <n v="1021"/>
    <s v="Employee 21"/>
    <x v="3"/>
    <s v="Marketing Specialist"/>
    <d v="2023-01-01T00:00:00"/>
    <s v="Manager 21"/>
    <x v="1"/>
    <s v="Sweden"/>
    <s v="Full time"/>
    <s v="Level 2"/>
    <s v="G5"/>
    <n v="34245"/>
    <s v="Monthly"/>
    <n v="30000"/>
    <n v="35000"/>
    <n v="40000"/>
    <n v="0.97842857142857143"/>
    <s v="Around Mid"/>
    <x v="2"/>
    <n v="0.06"/>
    <n v="2054.6999999999998"/>
    <n v="36299.699999999997"/>
    <n v="0.1"/>
    <n v="3629.97"/>
    <n v="1.5"/>
    <n v="5444.9549999999999"/>
    <n v="0.28000000000000003"/>
    <s v="C"/>
    <n v="11688.503400000001"/>
    <n v="1814.9849999999999"/>
    <n v="1200"/>
    <n v="14703.488400000002"/>
    <n v="27041.166599999997"/>
  </r>
  <r>
    <n v="1022"/>
    <s v="Employee 22"/>
    <x v="3"/>
    <s v="Marketing Specialist"/>
    <d v="2023-01-01T00:00:00"/>
    <s v="Manager 22"/>
    <x v="1"/>
    <s v="Sweden"/>
    <s v="Full time"/>
    <s v="Level 2"/>
    <s v="G5"/>
    <n v="34245"/>
    <s v="Monthly"/>
    <n v="30000"/>
    <n v="35000"/>
    <n v="40000"/>
    <n v="0.97842857142857143"/>
    <s v="Around Mid"/>
    <x v="2"/>
    <n v="0.06"/>
    <n v="2054.6999999999998"/>
    <n v="36299.699999999997"/>
    <n v="0.1"/>
    <n v="3629.97"/>
    <n v="1.5"/>
    <n v="5444.9549999999999"/>
    <n v="0.27"/>
    <s v="C"/>
    <n v="11271.056850000001"/>
    <n v="1814.9849999999999"/>
    <n v="1200"/>
    <n v="14286.041850000001"/>
    <n v="27458.613149999997"/>
  </r>
  <r>
    <n v="1023"/>
    <s v="Employee 23"/>
    <x v="3"/>
    <s v="Marketing Specialist"/>
    <d v="2023-01-01T00:00:00"/>
    <s v="Manager 23"/>
    <x v="1"/>
    <s v="Sweden"/>
    <s v="Full time"/>
    <s v="Level 2"/>
    <s v="G5"/>
    <n v="34245"/>
    <s v="Monthly"/>
    <n v="30000"/>
    <n v="35000"/>
    <n v="40000"/>
    <n v="0.97842857142857143"/>
    <s v="Around Mid"/>
    <x v="2"/>
    <n v="0.06"/>
    <n v="2054.6999999999998"/>
    <n v="36299.699999999997"/>
    <n v="0.1"/>
    <n v="3629.97"/>
    <n v="1.5"/>
    <n v="5444.9549999999999"/>
    <n v="0.31"/>
    <s v="C"/>
    <n v="12940.843049999999"/>
    <n v="1814.9849999999999"/>
    <n v="1200"/>
    <n v="15955.82805"/>
    <n v="25788.826949999999"/>
  </r>
  <r>
    <n v="1024"/>
    <s v="Employee 24"/>
    <x v="0"/>
    <s v="IT Specialist"/>
    <d v="2023-01-01T00:00:00"/>
    <s v="Manager 24"/>
    <x v="1"/>
    <s v="Sweden"/>
    <s v="Full time"/>
    <s v="Level 2"/>
    <s v="G5"/>
    <n v="34245"/>
    <s v="Monthly"/>
    <n v="30000"/>
    <n v="35000"/>
    <n v="40000"/>
    <n v="0.97842857142857143"/>
    <s v="Around Mid"/>
    <x v="2"/>
    <n v="0.06"/>
    <n v="2054.6999999999998"/>
    <n v="36299.699999999997"/>
    <n v="0.1"/>
    <n v="3629.97"/>
    <n v="1.5"/>
    <n v="5444.9549999999999"/>
    <n v="0.31"/>
    <s v="B"/>
    <n v="12940.843049999999"/>
    <n v="1814.9849999999999"/>
    <n v="800"/>
    <n v="15555.82805"/>
    <n v="26188.826949999999"/>
  </r>
  <r>
    <n v="1025"/>
    <s v="Employee 25"/>
    <x v="0"/>
    <s v="IT Specialist"/>
    <d v="2023-01-01T00:00:00"/>
    <s v="Manager 25"/>
    <x v="1"/>
    <s v="Sweden"/>
    <s v="Full time"/>
    <s v="Level 2"/>
    <s v="G5"/>
    <n v="39911"/>
    <s v="Monthly"/>
    <n v="30000"/>
    <n v="35000"/>
    <n v="40000"/>
    <n v="1.1403142857142856"/>
    <s v="Above Mid"/>
    <x v="2"/>
    <n v="0.04"/>
    <n v="1596.44"/>
    <n v="41507.440000000002"/>
    <n v="0.1"/>
    <n v="4150.7440000000006"/>
    <n v="1.5"/>
    <n v="6226.1160000000009"/>
    <n v="0.32"/>
    <s v="C"/>
    <n v="15274.737920000001"/>
    <n v="2075.3720000000003"/>
    <n v="1200"/>
    <n v="18550.109920000003"/>
    <n v="29183.446080000002"/>
  </r>
  <r>
    <n v="1026"/>
    <s v="Employee 26"/>
    <x v="0"/>
    <s v="IT Specialist"/>
    <d v="2023-01-01T00:00:00"/>
    <s v="Manager 26"/>
    <x v="1"/>
    <s v="Sweden"/>
    <s v="Full time"/>
    <s v="Level 2"/>
    <s v="G5"/>
    <n v="39911"/>
    <s v="Monthly"/>
    <n v="30000"/>
    <n v="35000"/>
    <n v="40000"/>
    <n v="1.1403142857142856"/>
    <s v="Above Mid"/>
    <x v="2"/>
    <n v="0.04"/>
    <n v="1596.44"/>
    <n v="41507.440000000002"/>
    <n v="0.1"/>
    <n v="4150.7440000000006"/>
    <n v="1.5"/>
    <n v="6226.1160000000009"/>
    <n v="0.3"/>
    <s v="B"/>
    <n v="14320.066800000001"/>
    <n v="2075.3720000000003"/>
    <n v="800"/>
    <n v="17195.4388"/>
    <n v="30538.117200000004"/>
  </r>
  <r>
    <n v="1027"/>
    <s v="Employee 27"/>
    <x v="4"/>
    <s v="Sales Specialist"/>
    <d v="2024-01-01T00:00:00"/>
    <s v="Manager 27"/>
    <x v="2"/>
    <s v="Sweden"/>
    <s v="Full time"/>
    <s v="Level 2"/>
    <s v="G5"/>
    <n v="39911"/>
    <s v="Monthly"/>
    <n v="30000"/>
    <n v="35000"/>
    <n v="40000"/>
    <n v="1.1403142857142856"/>
    <s v="Above Mid"/>
    <x v="2"/>
    <n v="0.04"/>
    <n v="1596.44"/>
    <n v="41507.440000000002"/>
    <n v="0.1"/>
    <n v="4150.7440000000006"/>
    <n v="1.5"/>
    <n v="6226.1160000000009"/>
    <n v="0.31"/>
    <s v="C"/>
    <n v="14797.402360000002"/>
    <n v="2075.3720000000003"/>
    <n v="1200"/>
    <n v="18072.774360000003"/>
    <n v="29660.781640000001"/>
  </r>
  <r>
    <n v="1028"/>
    <s v="Employee 28"/>
    <x v="1"/>
    <s v="HR Specialist"/>
    <d v="2024-01-01T00:00:00"/>
    <s v="Manager 28"/>
    <x v="1"/>
    <s v="Sweden"/>
    <s v="Full time"/>
    <s v="Level 2"/>
    <s v="G6"/>
    <n v="41804"/>
    <s v="Monthly"/>
    <n v="35000"/>
    <n v="40000"/>
    <n v="45000"/>
    <n v="1.0450999999999999"/>
    <s v="Around Mid"/>
    <x v="2"/>
    <n v="0.06"/>
    <n v="2508.2399999999998"/>
    <n v="44312.24"/>
    <n v="0.1"/>
    <n v="4431.2240000000002"/>
    <n v="1.5"/>
    <n v="6646.8360000000002"/>
    <n v="0.32"/>
    <s v="A"/>
    <n v="16306.904320000001"/>
    <n v="2215.6120000000001"/>
    <n v="500"/>
    <n v="19022.516320000002"/>
    <n v="31936.559679999998"/>
  </r>
  <r>
    <n v="1029"/>
    <s v="Employee 29"/>
    <x v="3"/>
    <s v="Marketing Specialist"/>
    <d v="2023-01-01T00:00:00"/>
    <s v="Manager 29"/>
    <x v="1"/>
    <s v="Sweden"/>
    <s v="Full time"/>
    <s v="Level 2"/>
    <s v="G5"/>
    <n v="39911"/>
    <s v="Monthly"/>
    <n v="30000"/>
    <n v="35000"/>
    <n v="40000"/>
    <n v="1.1403142857142856"/>
    <s v="Above Mid"/>
    <x v="3"/>
    <n v="0"/>
    <n v="0"/>
    <n v="39911"/>
    <n v="0.1"/>
    <n v="3991.1000000000004"/>
    <n v="0"/>
    <n v="0"/>
    <n v="0.27"/>
    <s v="B"/>
    <n v="10775.970000000001"/>
    <n v="1995.5500000000002"/>
    <n v="800"/>
    <n v="13571.52"/>
    <n v="26339.48"/>
  </r>
  <r>
    <n v="1030"/>
    <s v="Employee 30"/>
    <x v="5"/>
    <s v="Operations Specialist"/>
    <d v="2023-01-01T00:00:00"/>
    <s v="Manager 30"/>
    <x v="2"/>
    <s v="Sweden"/>
    <s v="Full time"/>
    <s v="Level 2"/>
    <s v="G5"/>
    <n v="39911"/>
    <s v="Monthly"/>
    <n v="30000"/>
    <n v="35000"/>
    <n v="40000"/>
    <n v="1.1403142857142856"/>
    <s v="Above Mid"/>
    <x v="1"/>
    <n v="0.02"/>
    <n v="798.22"/>
    <n v="40709.22"/>
    <n v="0.1"/>
    <n v="4070.9220000000005"/>
    <n v="1"/>
    <n v="4070.9220000000005"/>
    <n v="0.32"/>
    <s v="B"/>
    <n v="14329.64544"/>
    <n v="2035.4610000000002"/>
    <n v="800"/>
    <n v="17165.10644"/>
    <n v="27615.03556"/>
  </r>
  <r>
    <n v="1031"/>
    <s v="Employee 31"/>
    <x v="4"/>
    <s v="Sales Specialist"/>
    <d v="2024-01-01T00:00:00"/>
    <s v="Manager 31"/>
    <x v="2"/>
    <s v="Sweden"/>
    <s v="Full time"/>
    <s v="Level 2"/>
    <s v="G5"/>
    <n v="39911"/>
    <s v="Monthly"/>
    <n v="30000"/>
    <n v="35000"/>
    <n v="40000"/>
    <n v="1.1403142857142856"/>
    <s v="Above Mid"/>
    <x v="1"/>
    <n v="0.02"/>
    <n v="798.22"/>
    <n v="40709.22"/>
    <n v="0.1"/>
    <n v="4070.9220000000005"/>
    <n v="1"/>
    <n v="4070.9220000000005"/>
    <n v="0.31"/>
    <s v="C"/>
    <n v="13881.84402"/>
    <n v="2035.4610000000002"/>
    <n v="1200"/>
    <n v="17117.30502"/>
    <n v="27662.83698"/>
  </r>
  <r>
    <n v="1032"/>
    <s v="Employee 32"/>
    <x v="4"/>
    <s v="Sales Specialist"/>
    <d v="2024-01-01T00:00:00"/>
    <s v="Manager 32"/>
    <x v="2"/>
    <s v="Sweden"/>
    <s v="Full time"/>
    <s v="Level 2"/>
    <s v="G5"/>
    <n v="39911"/>
    <s v="Monthly"/>
    <n v="30000"/>
    <n v="35000"/>
    <n v="40000"/>
    <n v="1.1403142857142856"/>
    <s v="Above Mid"/>
    <x v="3"/>
    <n v="0"/>
    <n v="0"/>
    <n v="39911"/>
    <n v="0.1"/>
    <n v="3991.1000000000004"/>
    <n v="0"/>
    <n v="0"/>
    <n v="0.28000000000000003"/>
    <s v="C"/>
    <n v="11175.080000000002"/>
    <n v="1995.5500000000002"/>
    <n v="1200"/>
    <n v="14370.630000000001"/>
    <n v="25540.37"/>
  </r>
  <r>
    <n v="1033"/>
    <s v="Employee 33"/>
    <x v="4"/>
    <s v="Sales Specialist"/>
    <d v="2024-01-01T00:00:00"/>
    <s v="Manager 33"/>
    <x v="2"/>
    <s v="Sweden"/>
    <s v="Full time"/>
    <s v="Level 2"/>
    <s v="G5"/>
    <n v="39911"/>
    <s v="Monthly"/>
    <n v="30000"/>
    <n v="35000"/>
    <n v="40000"/>
    <n v="1.1403142857142856"/>
    <s v="Above Mid"/>
    <x v="1"/>
    <n v="0.02"/>
    <n v="798.22"/>
    <n v="40709.22"/>
    <n v="0.1"/>
    <n v="4070.9220000000005"/>
    <n v="1"/>
    <n v="4070.9220000000005"/>
    <n v="0.31"/>
    <s v="C"/>
    <n v="13881.84402"/>
    <n v="2035.4610000000002"/>
    <n v="1200"/>
    <n v="17117.30502"/>
    <n v="27662.83698"/>
  </r>
  <r>
    <n v="1034"/>
    <s v="Employee 34"/>
    <x v="2"/>
    <s v="Finance Specialist"/>
    <d v="2024-01-01T00:00:00"/>
    <s v="Manager 34"/>
    <x v="1"/>
    <s v="Sweden"/>
    <s v="Full time"/>
    <s v="Level 2"/>
    <s v="G5"/>
    <n v="39911"/>
    <s v="Monthly"/>
    <n v="30000"/>
    <n v="35000"/>
    <n v="40000"/>
    <n v="1.1403142857142856"/>
    <s v="Above Mid"/>
    <x v="1"/>
    <n v="0.02"/>
    <n v="798.22"/>
    <n v="40709.22"/>
    <n v="0.1"/>
    <n v="4070.9220000000005"/>
    <n v="1"/>
    <n v="4070.9220000000005"/>
    <n v="0.31"/>
    <s v="A"/>
    <n v="13881.84402"/>
    <n v="2035.4610000000002"/>
    <n v="500"/>
    <n v="16417.30502"/>
    <n v="28362.83698"/>
  </r>
  <r>
    <n v="1035"/>
    <s v="Employee 35"/>
    <x v="2"/>
    <s v="Finance Specialist"/>
    <d v="2024-01-01T00:00:00"/>
    <s v="Manager 35"/>
    <x v="1"/>
    <s v="Sweden"/>
    <s v="Full time"/>
    <s v="Level 2"/>
    <s v="G5"/>
    <n v="39911"/>
    <s v="Monthly"/>
    <n v="30000"/>
    <n v="35000"/>
    <n v="40000"/>
    <n v="1.1403142857142856"/>
    <s v="Above Mid"/>
    <x v="1"/>
    <n v="0.02"/>
    <n v="798.22"/>
    <n v="40709.22"/>
    <n v="0.1"/>
    <n v="4070.9220000000005"/>
    <n v="1"/>
    <n v="4070.9220000000005"/>
    <n v="0.27"/>
    <s v="C"/>
    <n v="12090.638340000001"/>
    <n v="2035.4610000000002"/>
    <n v="1200"/>
    <n v="15326.099340000001"/>
    <n v="29454.042659999999"/>
  </r>
  <r>
    <n v="1036"/>
    <s v="Employee 36"/>
    <x v="0"/>
    <s v="IT Specialist"/>
    <d v="2023-01-01T00:00:00"/>
    <s v="Manager 36"/>
    <x v="1"/>
    <s v="Sweden"/>
    <s v="Full time"/>
    <s v="Level 2"/>
    <s v="G5"/>
    <n v="39911"/>
    <s v="Monthly"/>
    <n v="30000"/>
    <n v="35000"/>
    <n v="40000"/>
    <n v="1.1403142857142856"/>
    <s v="Above Mid"/>
    <x v="1"/>
    <n v="0.02"/>
    <n v="798.22"/>
    <n v="40709.22"/>
    <n v="0.1"/>
    <n v="4070.9220000000005"/>
    <n v="1"/>
    <n v="4070.9220000000005"/>
    <n v="0.3"/>
    <s v="C"/>
    <n v="13434.042599999999"/>
    <n v="2035.4610000000002"/>
    <n v="1200"/>
    <n v="16669.5036"/>
    <n v="28110.6384"/>
  </r>
  <r>
    <n v="1037"/>
    <s v="Employee 37"/>
    <x v="2"/>
    <s v="Finance Specialist"/>
    <d v="2024-01-01T00:00:00"/>
    <s v="Manager 37"/>
    <x v="1"/>
    <s v="Sweden"/>
    <s v="Full time"/>
    <s v="Level 2"/>
    <s v="G5"/>
    <n v="39911"/>
    <s v="Monthly"/>
    <n v="30000"/>
    <n v="35000"/>
    <n v="40000"/>
    <n v="1.1403142857142856"/>
    <s v="Above Mid"/>
    <x v="3"/>
    <n v="0"/>
    <n v="0"/>
    <n v="39911"/>
    <n v="0.1"/>
    <n v="3991.1000000000004"/>
    <n v="0"/>
    <n v="0"/>
    <n v="0.3"/>
    <s v="C"/>
    <n v="11973.3"/>
    <n v="1995.5500000000002"/>
    <n v="1200"/>
    <n v="15168.849999999999"/>
    <n v="24742.15"/>
  </r>
  <r>
    <n v="1038"/>
    <s v="Employee 38"/>
    <x v="4"/>
    <s v="Sales Specialist"/>
    <d v="2024-01-01T00:00:00"/>
    <s v="Manager 38"/>
    <x v="2"/>
    <s v="Sweden"/>
    <s v="Full time"/>
    <s v="Level 2"/>
    <s v="G5"/>
    <n v="39911"/>
    <s v="Monthly"/>
    <n v="30000"/>
    <n v="35000"/>
    <n v="40000"/>
    <n v="1.1403142857142856"/>
    <s v="Above Mid"/>
    <x v="1"/>
    <n v="0.02"/>
    <n v="798.22"/>
    <n v="40709.22"/>
    <n v="0.1"/>
    <n v="4070.9220000000005"/>
    <n v="1"/>
    <n v="4070.9220000000005"/>
    <n v="0.3"/>
    <s v="C"/>
    <n v="13434.042599999999"/>
    <n v="2035.4610000000002"/>
    <n v="1200"/>
    <n v="16669.5036"/>
    <n v="28110.6384"/>
  </r>
  <r>
    <n v="1039"/>
    <s v="Employee 39"/>
    <x v="1"/>
    <s v="HR Specialist"/>
    <d v="2024-01-01T00:00:00"/>
    <s v="Manager 39"/>
    <x v="1"/>
    <s v="Sweden"/>
    <s v="Full time"/>
    <s v="Level 2"/>
    <s v="G6"/>
    <n v="41804"/>
    <s v="Monthly"/>
    <n v="35000"/>
    <n v="40000"/>
    <n v="45000"/>
    <n v="1.0450999999999999"/>
    <s v="Around Mid"/>
    <x v="1"/>
    <n v="2.5000000000000001E-2"/>
    <n v="1045.1000000000001"/>
    <n v="42849.1"/>
    <n v="0.1"/>
    <n v="4284.91"/>
    <n v="1"/>
    <n v="4284.91"/>
    <n v="0.27"/>
    <s v="C"/>
    <n v="12726.182699999999"/>
    <n v="2142.4549999999999"/>
    <n v="1200"/>
    <n v="16068.637699999999"/>
    <n v="31065.372299999995"/>
  </r>
  <r>
    <n v="1040"/>
    <s v="Employee 40"/>
    <x v="3"/>
    <s v="Marketing Specialist"/>
    <d v="2023-01-01T00:00:00"/>
    <s v="Manager 40"/>
    <x v="1"/>
    <s v="Sweden"/>
    <s v="Full time"/>
    <s v="Level 2"/>
    <s v="G5"/>
    <n v="39911"/>
    <s v="Monthly"/>
    <n v="30000"/>
    <n v="35000"/>
    <n v="40000"/>
    <n v="1.1403142857142856"/>
    <s v="Above Mid"/>
    <x v="3"/>
    <n v="0"/>
    <n v="0"/>
    <n v="39911"/>
    <n v="0.1"/>
    <n v="3991.1000000000004"/>
    <n v="0"/>
    <n v="0"/>
    <n v="0.31"/>
    <s v="B"/>
    <n v="12372.41"/>
    <n v="1995.5500000000002"/>
    <n v="800"/>
    <n v="15167.96"/>
    <n v="24743.040000000001"/>
  </r>
  <r>
    <n v="1041"/>
    <s v="Employee 41"/>
    <x v="3"/>
    <s v="Marketing Specialist"/>
    <d v="2023-01-01T00:00:00"/>
    <s v="Manager 41"/>
    <x v="1"/>
    <s v="Sweden"/>
    <s v="Full time"/>
    <s v="Level 2"/>
    <s v="G5"/>
    <n v="39911"/>
    <s v="Monthly"/>
    <n v="30000"/>
    <n v="35000"/>
    <n v="40000"/>
    <n v="1.1403142857142856"/>
    <s v="Above Mid"/>
    <x v="1"/>
    <n v="0.02"/>
    <n v="798.22"/>
    <n v="40709.22"/>
    <n v="0.1"/>
    <n v="4070.9220000000005"/>
    <n v="1"/>
    <n v="4070.9220000000005"/>
    <n v="0.3"/>
    <s v="C"/>
    <n v="13434.042599999999"/>
    <n v="2035.4610000000002"/>
    <n v="1200"/>
    <n v="16669.5036"/>
    <n v="28110.6384"/>
  </r>
  <r>
    <n v="1042"/>
    <s v="Employee 42"/>
    <x v="5"/>
    <s v="Operations Specialist"/>
    <d v="2023-01-01T00:00:00"/>
    <s v="Manager 42"/>
    <x v="2"/>
    <s v="Sweden"/>
    <s v="Full time"/>
    <s v="Level 2"/>
    <s v="G5"/>
    <n v="32466"/>
    <s v="Monthly"/>
    <n v="30000"/>
    <n v="35000"/>
    <n v="40000"/>
    <n v="0.92759999999999998"/>
    <s v="Below Mid"/>
    <x v="1"/>
    <n v="0.03"/>
    <n v="973.98"/>
    <n v="33439.980000000003"/>
    <n v="0.1"/>
    <n v="3343.9980000000005"/>
    <n v="1"/>
    <n v="3343.9980000000005"/>
    <n v="0.31"/>
    <s v="B"/>
    <n v="11403.03318"/>
    <n v="1671.9990000000003"/>
    <n v="800"/>
    <n v="13875.03218"/>
    <n v="22908.945820000001"/>
  </r>
  <r>
    <n v="1043"/>
    <s v="Employee 43"/>
    <x v="1"/>
    <s v="HR Specialist"/>
    <d v="2024-01-01T00:00:00"/>
    <s v="Manager 43"/>
    <x v="1"/>
    <s v="Sweden"/>
    <s v="Full time"/>
    <s v="Level 2"/>
    <s v="G6"/>
    <n v="41804"/>
    <s v="Monthly"/>
    <n v="35000"/>
    <n v="40000"/>
    <n v="45000"/>
    <n v="1.0450999999999999"/>
    <s v="Around Mid"/>
    <x v="1"/>
    <n v="2.5000000000000001E-2"/>
    <n v="1045.1000000000001"/>
    <n v="42849.1"/>
    <n v="0.1"/>
    <n v="4284.91"/>
    <n v="1"/>
    <n v="4284.91"/>
    <n v="0.3"/>
    <s v="C"/>
    <n v="14140.202999999998"/>
    <n v="2142.4549999999999"/>
    <n v="1200"/>
    <n v="17482.657999999996"/>
    <n v="29651.351999999999"/>
  </r>
  <r>
    <n v="1044"/>
    <s v="Employee 44"/>
    <x v="3"/>
    <s v="Marketing Specialist"/>
    <d v="2023-01-01T00:00:00"/>
    <s v="Manager 44"/>
    <x v="1"/>
    <s v="Sweden"/>
    <s v="Full time"/>
    <s v="Level 2"/>
    <s v="G5"/>
    <n v="32466"/>
    <s v="Monthly"/>
    <n v="30000"/>
    <n v="35000"/>
    <n v="40000"/>
    <n v="0.92759999999999998"/>
    <s v="Below Mid"/>
    <x v="1"/>
    <n v="0.03"/>
    <n v="973.98"/>
    <n v="33439.980000000003"/>
    <n v="0.1"/>
    <n v="3343.9980000000005"/>
    <n v="1"/>
    <n v="3343.9980000000005"/>
    <n v="0.28999999999999998"/>
    <s v="B"/>
    <n v="10667.35362"/>
    <n v="1671.9990000000003"/>
    <n v="800"/>
    <n v="13139.35262"/>
    <n v="23644.625380000005"/>
  </r>
  <r>
    <n v="1045"/>
    <s v="Employee 45"/>
    <x v="5"/>
    <s v="Operations Specialist"/>
    <d v="2023-01-01T00:00:00"/>
    <s v="Manager 45"/>
    <x v="2"/>
    <s v="Sweden"/>
    <s v="Full time"/>
    <s v="Level 2"/>
    <s v="G5"/>
    <n v="32466"/>
    <s v="Monthly"/>
    <n v="30000"/>
    <n v="35000"/>
    <n v="40000"/>
    <n v="0.92759999999999998"/>
    <s v="Below Mid"/>
    <x v="1"/>
    <n v="0.03"/>
    <n v="973.98"/>
    <n v="33439.980000000003"/>
    <n v="0.1"/>
    <n v="3343.9980000000005"/>
    <n v="1"/>
    <n v="3343.9980000000005"/>
    <n v="0.27"/>
    <s v="A"/>
    <n v="9931.6740600000012"/>
    <n v="1671.9990000000003"/>
    <n v="500"/>
    <n v="12103.673060000001"/>
    <n v="24680.304940000002"/>
  </r>
  <r>
    <n v="1046"/>
    <s v="Employee 46"/>
    <x v="1"/>
    <s v="HR Specialist"/>
    <d v="2024-01-01T00:00:00"/>
    <s v="Manager 46"/>
    <x v="1"/>
    <s v="Sweden"/>
    <s v="Full time"/>
    <s v="Level 2"/>
    <s v="G6"/>
    <n v="45249"/>
    <s v="Monthly"/>
    <n v="35000"/>
    <n v="40000"/>
    <n v="45000"/>
    <n v="1.1312249999999999"/>
    <s v="Above Mid"/>
    <x v="1"/>
    <n v="0.02"/>
    <n v="904.98"/>
    <n v="46153.98"/>
    <n v="0.1"/>
    <n v="4615.3980000000001"/>
    <n v="1"/>
    <n v="4615.3980000000001"/>
    <n v="0.3"/>
    <s v="A"/>
    <n v="15230.813400000001"/>
    <n v="2307.6990000000001"/>
    <n v="500"/>
    <n v="18038.5124"/>
    <n v="32730.865600000005"/>
  </r>
  <r>
    <n v="1047"/>
    <s v="Employee 47"/>
    <x v="5"/>
    <s v="Operations Specialist"/>
    <d v="2023-01-01T00:00:00"/>
    <s v="Manager 47"/>
    <x v="2"/>
    <s v="Sweden"/>
    <s v="Full time"/>
    <s v="Level 2"/>
    <s v="G5"/>
    <n v="32466"/>
    <s v="Monthly"/>
    <n v="30000"/>
    <n v="35000"/>
    <n v="40000"/>
    <n v="0.92759999999999998"/>
    <s v="Below Mid"/>
    <x v="1"/>
    <n v="0.03"/>
    <n v="973.98"/>
    <n v="33439.980000000003"/>
    <n v="0.1"/>
    <n v="3343.9980000000005"/>
    <n v="1"/>
    <n v="3343.9980000000005"/>
    <n v="0.32"/>
    <s v="C"/>
    <n v="11770.872960000001"/>
    <n v="1671.9990000000003"/>
    <n v="1200"/>
    <n v="14642.87196"/>
    <n v="22141.106040000002"/>
  </r>
  <r>
    <n v="1048"/>
    <s v="Employee 48"/>
    <x v="1"/>
    <s v="HR Specialist"/>
    <d v="2024-01-01T00:00:00"/>
    <s v="Manager 48"/>
    <x v="1"/>
    <s v="Sweden"/>
    <s v="Full time"/>
    <s v="Level 2"/>
    <s v="G6"/>
    <n v="45249"/>
    <s v="Monthly"/>
    <n v="35000"/>
    <n v="40000"/>
    <n v="45000"/>
    <n v="1.1312249999999999"/>
    <s v="Above Mid"/>
    <x v="1"/>
    <n v="0.02"/>
    <n v="904.98"/>
    <n v="46153.98"/>
    <n v="0.1"/>
    <n v="4615.3980000000001"/>
    <n v="1"/>
    <n v="4615.3980000000001"/>
    <n v="0.28999999999999998"/>
    <s v="B"/>
    <n v="14723.119619999999"/>
    <n v="2307.6990000000001"/>
    <n v="800"/>
    <n v="17830.818619999998"/>
    <n v="32938.559380000006"/>
  </r>
  <r>
    <n v="1049"/>
    <s v="Employee 49"/>
    <x v="0"/>
    <s v="IT Specialist"/>
    <d v="2023-01-01T00:00:00"/>
    <s v="Manager 49"/>
    <x v="1"/>
    <s v="Sweden"/>
    <s v="Full time"/>
    <s v="Level 2"/>
    <s v="G5"/>
    <n v="32466"/>
    <s v="Monthly"/>
    <n v="30000"/>
    <n v="35000"/>
    <n v="40000"/>
    <n v="0.92759999999999998"/>
    <s v="Below Mid"/>
    <x v="1"/>
    <n v="0.03"/>
    <n v="973.98"/>
    <n v="33439.980000000003"/>
    <n v="0.1"/>
    <n v="3343.9980000000005"/>
    <n v="1"/>
    <n v="3343.9980000000005"/>
    <n v="0.3"/>
    <s v="C"/>
    <n v="11035.1934"/>
    <n v="1671.9990000000003"/>
    <n v="1200"/>
    <n v="13907.1924"/>
    <n v="22876.785600000003"/>
  </r>
  <r>
    <n v="1050"/>
    <s v="Employee 50"/>
    <x v="0"/>
    <s v="IT Specialist"/>
    <d v="2023-01-01T00:00:00"/>
    <s v="Manager 50"/>
    <x v="1"/>
    <s v="Sweden"/>
    <s v="Full time"/>
    <s v="Level 2"/>
    <s v="G5"/>
    <n v="32466"/>
    <s v="Monthly"/>
    <n v="30000"/>
    <n v="35000"/>
    <n v="40000"/>
    <n v="0.92759999999999998"/>
    <s v="Below Mid"/>
    <x v="1"/>
    <n v="0.03"/>
    <n v="973.98"/>
    <n v="33439.980000000003"/>
    <n v="0.1"/>
    <n v="3343.9980000000005"/>
    <n v="1"/>
    <n v="3343.9980000000005"/>
    <n v="0.3"/>
    <s v="C"/>
    <n v="11035.1934"/>
    <n v="1671.9990000000003"/>
    <n v="1200"/>
    <n v="13907.1924"/>
    <n v="22876.785600000003"/>
  </r>
  <r>
    <n v="1051"/>
    <s v="Employee 51"/>
    <x v="2"/>
    <s v="Finance Specialist"/>
    <d v="2024-01-01T00:00:00"/>
    <s v="Manager 51"/>
    <x v="1"/>
    <s v="Sweden"/>
    <s v="Full time"/>
    <s v="Level 2"/>
    <s v="G5"/>
    <n v="32466"/>
    <s v="Monthly"/>
    <n v="30000"/>
    <n v="35000"/>
    <n v="40000"/>
    <n v="0.92759999999999998"/>
    <s v="Below Mid"/>
    <x v="1"/>
    <n v="0.03"/>
    <n v="973.98"/>
    <n v="33439.980000000003"/>
    <n v="0.1"/>
    <n v="3343.9980000000005"/>
    <n v="1"/>
    <n v="3343.9980000000005"/>
    <n v="0.31"/>
    <s v="A"/>
    <n v="11403.03318"/>
    <n v="1671.9990000000003"/>
    <n v="500"/>
    <n v="13575.03218"/>
    <n v="23208.945820000001"/>
  </r>
  <r>
    <n v="1052"/>
    <s v="Employee 52"/>
    <x v="4"/>
    <s v="Sales Specialist"/>
    <d v="2024-01-01T00:00:00"/>
    <s v="Manager 52"/>
    <x v="2"/>
    <s v="Sweden"/>
    <s v="Full time"/>
    <s v="Level 2"/>
    <s v="G5"/>
    <n v="32466"/>
    <s v="Monthly"/>
    <n v="30000"/>
    <n v="35000"/>
    <n v="40000"/>
    <n v="0.92759999999999998"/>
    <s v="Below Mid"/>
    <x v="3"/>
    <n v="0"/>
    <n v="0"/>
    <n v="32466"/>
    <n v="0.1"/>
    <n v="3246.6000000000004"/>
    <n v="0"/>
    <n v="0"/>
    <n v="0.28000000000000003"/>
    <s v="A"/>
    <n v="9090.4800000000014"/>
    <n v="1623.3000000000002"/>
    <n v="500"/>
    <n v="11213.780000000002"/>
    <n v="21252.219999999998"/>
  </r>
  <r>
    <n v="1053"/>
    <s v="Employee 53"/>
    <x v="1"/>
    <s v="HR Specialist"/>
    <d v="2024-01-01T00:00:00"/>
    <s v="Manager 53"/>
    <x v="1"/>
    <s v="Sweden"/>
    <s v="Full time"/>
    <s v="Level 2"/>
    <s v="G6"/>
    <n v="45249"/>
    <s v="Monthly"/>
    <n v="35000"/>
    <n v="40000"/>
    <n v="45000"/>
    <n v="1.1312249999999999"/>
    <s v="Above Mid"/>
    <x v="1"/>
    <n v="0.02"/>
    <n v="904.98"/>
    <n v="46153.98"/>
    <n v="0.1"/>
    <n v="4615.3980000000001"/>
    <n v="1"/>
    <n v="4615.3980000000001"/>
    <n v="0.32"/>
    <s v="A"/>
    <n v="16246.200960000002"/>
    <n v="2307.6990000000001"/>
    <n v="500"/>
    <n v="19053.899960000002"/>
    <n v="31715.478040000002"/>
  </r>
  <r>
    <n v="1054"/>
    <s v="Employee 54"/>
    <x v="1"/>
    <s v="HR Specialist"/>
    <d v="2024-01-01T00:00:00"/>
    <s v="Manager 54"/>
    <x v="1"/>
    <s v="Sweden"/>
    <s v="Full time"/>
    <s v="Level 2"/>
    <s v="G6"/>
    <n v="45249"/>
    <s v="Monthly"/>
    <n v="35000"/>
    <n v="40000"/>
    <n v="45000"/>
    <n v="1.1312249999999999"/>
    <s v="Above Mid"/>
    <x v="1"/>
    <n v="0.02"/>
    <n v="904.98"/>
    <n v="46153.98"/>
    <n v="0.1"/>
    <n v="4615.3980000000001"/>
    <n v="1"/>
    <n v="4615.3980000000001"/>
    <n v="0.27"/>
    <s v="A"/>
    <n v="13707.732060000002"/>
    <n v="2307.6990000000001"/>
    <n v="500"/>
    <n v="16515.431060000003"/>
    <n v="34253.946940000002"/>
  </r>
  <r>
    <n v="1055"/>
    <s v="Employee 55"/>
    <x v="3"/>
    <s v="Marketing Specialist"/>
    <d v="2023-01-01T00:00:00"/>
    <s v="Manager 55"/>
    <x v="1"/>
    <s v="Sweden"/>
    <s v="Full time"/>
    <s v="Level 2"/>
    <s v="G5"/>
    <n v="32466"/>
    <s v="Monthly"/>
    <n v="30000"/>
    <n v="35000"/>
    <n v="40000"/>
    <n v="0.92759999999999998"/>
    <s v="Below Mid"/>
    <x v="3"/>
    <n v="0"/>
    <n v="0"/>
    <n v="32466"/>
    <n v="0.1"/>
    <n v="3246.6000000000004"/>
    <n v="0"/>
    <n v="0"/>
    <n v="0.32"/>
    <s v="A"/>
    <n v="10389.120000000001"/>
    <n v="1623.3000000000002"/>
    <n v="500"/>
    <n v="12512.420000000002"/>
    <n v="19953.579999999998"/>
  </r>
  <r>
    <n v="1056"/>
    <s v="Employee 56"/>
    <x v="4"/>
    <s v="Sales Specialist"/>
    <d v="2024-01-01T00:00:00"/>
    <s v="Manager 56"/>
    <x v="2"/>
    <s v="Sweden"/>
    <s v="Full time"/>
    <s v="Level 2"/>
    <s v="G5"/>
    <n v="32466"/>
    <s v="Monthly"/>
    <n v="30000"/>
    <n v="35000"/>
    <n v="40000"/>
    <n v="0.92759999999999998"/>
    <s v="Below Mid"/>
    <x v="1"/>
    <n v="0.03"/>
    <n v="973.98"/>
    <n v="33439.980000000003"/>
    <n v="0.1"/>
    <n v="3343.9980000000005"/>
    <n v="1"/>
    <n v="3343.9980000000005"/>
    <n v="0.28999999999999998"/>
    <s v="B"/>
    <n v="10667.35362"/>
    <n v="1671.9990000000003"/>
    <n v="800"/>
    <n v="13139.35262"/>
    <n v="23644.625380000005"/>
  </r>
  <r>
    <n v="1057"/>
    <s v="Employee 57"/>
    <x v="5"/>
    <s v="Operations Specialist"/>
    <d v="2023-01-01T00:00:00"/>
    <s v="Manager 57"/>
    <x v="2"/>
    <s v="Sweden"/>
    <s v="Full time"/>
    <s v="Level 2"/>
    <s v="G5"/>
    <n v="32466"/>
    <s v="Monthly"/>
    <n v="30000"/>
    <n v="35000"/>
    <n v="40000"/>
    <n v="0.92759999999999998"/>
    <s v="Below Mid"/>
    <x v="1"/>
    <n v="0.03"/>
    <n v="973.98"/>
    <n v="33439.980000000003"/>
    <n v="0.1"/>
    <n v="3343.9980000000005"/>
    <n v="1"/>
    <n v="3343.9980000000005"/>
    <n v="0.31"/>
    <s v="B"/>
    <n v="11403.03318"/>
    <n v="1671.9990000000003"/>
    <n v="800"/>
    <n v="13875.03218"/>
    <n v="22908.945820000001"/>
  </r>
  <r>
    <n v="1058"/>
    <s v="Employee 58"/>
    <x v="3"/>
    <s v="Marketing Specialist"/>
    <d v="2023-01-01T00:00:00"/>
    <s v="Manager 58"/>
    <x v="1"/>
    <s v="Sweden"/>
    <s v="Full time"/>
    <s v="Level 2"/>
    <s v="G5"/>
    <n v="32466"/>
    <s v="Monthly"/>
    <n v="30000"/>
    <n v="35000"/>
    <n v="40000"/>
    <n v="0.92759999999999998"/>
    <s v="Below Mid"/>
    <x v="1"/>
    <n v="0.03"/>
    <n v="973.98"/>
    <n v="33439.980000000003"/>
    <n v="0.1"/>
    <n v="3343.9980000000005"/>
    <n v="1"/>
    <n v="3343.9980000000005"/>
    <n v="0.27"/>
    <s v="C"/>
    <n v="9931.6740600000012"/>
    <n v="1671.9990000000003"/>
    <n v="1200"/>
    <n v="12803.673060000001"/>
    <n v="23980.304940000002"/>
  </r>
  <r>
    <n v="1059"/>
    <s v="Employee 59"/>
    <x v="2"/>
    <s v="Finance Specialist"/>
    <d v="2024-01-01T00:00:00"/>
    <s v="Manager 59"/>
    <x v="1"/>
    <s v="Sweden"/>
    <s v="Full time"/>
    <s v="Level 2"/>
    <s v="G5"/>
    <n v="32466"/>
    <s v="Monthly"/>
    <n v="30000"/>
    <n v="35000"/>
    <n v="40000"/>
    <n v="0.92759999999999998"/>
    <s v="Below Mid"/>
    <x v="1"/>
    <n v="0.03"/>
    <n v="973.98"/>
    <n v="33439.980000000003"/>
    <n v="0.1"/>
    <n v="3343.9980000000005"/>
    <n v="1"/>
    <n v="3343.9980000000005"/>
    <n v="0.27"/>
    <s v="C"/>
    <n v="9931.6740600000012"/>
    <n v="1671.9990000000003"/>
    <n v="1200"/>
    <n v="12803.673060000001"/>
    <n v="23980.304940000002"/>
  </r>
  <r>
    <n v="1060"/>
    <s v="Employee 60"/>
    <x v="2"/>
    <s v="Finance Specialist"/>
    <d v="2024-01-01T00:00:00"/>
    <s v="Manager 60"/>
    <x v="1"/>
    <s v="Sweden"/>
    <s v="Full time"/>
    <s v="Level 2"/>
    <s v="G5"/>
    <n v="36800"/>
    <s v="Monthly"/>
    <n v="30000"/>
    <n v="35000"/>
    <n v="40000"/>
    <n v="1.0514285714285714"/>
    <s v="Above Mid"/>
    <x v="1"/>
    <n v="0.02"/>
    <n v="736"/>
    <n v="37536"/>
    <n v="0.1"/>
    <n v="3753.6000000000004"/>
    <n v="1"/>
    <n v="3753.6000000000004"/>
    <n v="0.31"/>
    <s v="A"/>
    <n v="12799.776"/>
    <n v="1876.8000000000002"/>
    <n v="500"/>
    <n v="15176.576000000001"/>
    <n v="26113.023999999998"/>
  </r>
  <r>
    <n v="1061"/>
    <s v="Employee 61"/>
    <x v="0"/>
    <s v="IT Specialist"/>
    <d v="2023-01-01T00:00:00"/>
    <s v="Manager 61"/>
    <x v="1"/>
    <s v="Sweden"/>
    <s v="Full time"/>
    <s v="Level 2"/>
    <s v="G5"/>
    <n v="36800"/>
    <s v="Monthly"/>
    <n v="30000"/>
    <n v="35000"/>
    <n v="40000"/>
    <n v="1.0514285714285714"/>
    <s v="Above Mid"/>
    <x v="1"/>
    <n v="0.02"/>
    <n v="736"/>
    <n v="37536"/>
    <n v="0.1"/>
    <n v="3753.6000000000004"/>
    <n v="1"/>
    <n v="3753.6000000000004"/>
    <n v="0.31"/>
    <s v="B"/>
    <n v="12799.776"/>
    <n v="1876.8000000000002"/>
    <n v="800"/>
    <n v="15476.576000000001"/>
    <n v="25813.023999999998"/>
  </r>
  <r>
    <n v="1062"/>
    <s v="Employee 62"/>
    <x v="4"/>
    <s v="Sales Specialist"/>
    <d v="2024-01-01T00:00:00"/>
    <s v="Manager 62"/>
    <x v="2"/>
    <s v="Sweden"/>
    <s v="Full time"/>
    <s v="Level 2"/>
    <s v="G5"/>
    <n v="36800"/>
    <s v="Monthly"/>
    <n v="30000"/>
    <n v="35000"/>
    <n v="40000"/>
    <n v="1.0514285714285714"/>
    <s v="Above Mid"/>
    <x v="1"/>
    <n v="0.02"/>
    <n v="736"/>
    <n v="37536"/>
    <n v="0.1"/>
    <n v="3753.6000000000004"/>
    <n v="1"/>
    <n v="3753.6000000000004"/>
    <n v="0.3"/>
    <s v="A"/>
    <n v="12386.88"/>
    <n v="1876.8000000000002"/>
    <n v="500"/>
    <n v="14763.68"/>
    <n v="26525.919999999998"/>
  </r>
  <r>
    <n v="1063"/>
    <s v="Employee 63"/>
    <x v="5"/>
    <s v="Operations Specialist"/>
    <d v="2023-01-01T00:00:00"/>
    <s v="Manager 63"/>
    <x v="2"/>
    <s v="Sweden"/>
    <s v="Full time"/>
    <s v="Level 2"/>
    <s v="G5"/>
    <n v="36800"/>
    <s v="Monthly"/>
    <n v="30000"/>
    <n v="35000"/>
    <n v="40000"/>
    <n v="1.0514285714285714"/>
    <s v="Above Mid"/>
    <x v="1"/>
    <n v="0.02"/>
    <n v="736"/>
    <n v="37536"/>
    <n v="0.1"/>
    <n v="3753.6000000000004"/>
    <n v="1"/>
    <n v="3753.6000000000004"/>
    <n v="0.32"/>
    <s v="C"/>
    <n v="13212.672"/>
    <n v="1876.8000000000002"/>
    <n v="1200"/>
    <n v="16289.472000000002"/>
    <n v="25000.127999999997"/>
  </r>
  <r>
    <n v="1064"/>
    <s v="Employee 64"/>
    <x v="3"/>
    <s v="Senior Market Specialist"/>
    <d v="2024-01-01T00:00:00"/>
    <s v="Manager 64"/>
    <x v="1"/>
    <s v="Sweden"/>
    <s v="Full time"/>
    <s v="Level 3"/>
    <s v="G7"/>
    <n v="45304"/>
    <s v="Monthly"/>
    <n v="38000"/>
    <n v="50000"/>
    <n v="56000"/>
    <n v="0.90608"/>
    <s v="Below Mid"/>
    <x v="1"/>
    <n v="0.03"/>
    <n v="1359.12"/>
    <n v="46663.12"/>
    <n v="0.15"/>
    <n v="6999.4679999999998"/>
    <n v="1"/>
    <n v="6999.4679999999998"/>
    <n v="0.31"/>
    <s v="C"/>
    <n v="16635.402280000002"/>
    <n v="2333.1560000000004"/>
    <n v="1200"/>
    <n v="20168.558280000001"/>
    <n v="33494.029720000006"/>
  </r>
  <r>
    <n v="1065"/>
    <s v="Employee 65"/>
    <x v="4"/>
    <s v="Sales Specialist"/>
    <d v="2024-01-01T00:00:00"/>
    <s v="Manager 65"/>
    <x v="2"/>
    <s v="Sweden"/>
    <s v="Full time"/>
    <s v="Level 2"/>
    <s v="G5"/>
    <n v="36800"/>
    <s v="Monthly"/>
    <n v="30000"/>
    <n v="35000"/>
    <n v="40000"/>
    <n v="1.0514285714285714"/>
    <s v="Above Mid"/>
    <x v="1"/>
    <n v="0.02"/>
    <n v="736"/>
    <n v="37536"/>
    <n v="0.1"/>
    <n v="3753.6000000000004"/>
    <n v="1"/>
    <n v="3753.6000000000004"/>
    <n v="0.28000000000000003"/>
    <s v="B"/>
    <n v="11561.088000000002"/>
    <n v="1876.8000000000002"/>
    <n v="800"/>
    <n v="14237.888000000003"/>
    <n v="27051.711999999996"/>
  </r>
  <r>
    <n v="1066"/>
    <s v="Employee 66"/>
    <x v="5"/>
    <s v="Operations Specialist"/>
    <d v="2023-01-01T00:00:00"/>
    <s v="Manager 66"/>
    <x v="2"/>
    <s v="Sweden"/>
    <s v="Full time"/>
    <s v="Level 2"/>
    <s v="G5"/>
    <n v="36800"/>
    <s v="Monthly"/>
    <n v="30000"/>
    <n v="35000"/>
    <n v="40000"/>
    <n v="1.0514285714285714"/>
    <s v="Above Mid"/>
    <x v="1"/>
    <n v="0.02"/>
    <n v="736"/>
    <n v="37536"/>
    <n v="0.1"/>
    <n v="3753.6000000000004"/>
    <n v="1"/>
    <n v="3753.6000000000004"/>
    <n v="0.3"/>
    <s v="B"/>
    <n v="12386.88"/>
    <n v="1876.8000000000002"/>
    <n v="800"/>
    <n v="15063.68"/>
    <n v="26225.919999999998"/>
  </r>
  <r>
    <n v="1067"/>
    <s v="Employee 67"/>
    <x v="4"/>
    <s v="Sales Specialist"/>
    <d v="2024-01-01T00:00:00"/>
    <s v="Manager 67"/>
    <x v="2"/>
    <s v="Sweden"/>
    <s v="Full time"/>
    <s v="Level 2"/>
    <s v="G5"/>
    <n v="36800"/>
    <s v="Monthly"/>
    <n v="30000"/>
    <n v="35000"/>
    <n v="40000"/>
    <n v="1.0514285714285714"/>
    <s v="Above Mid"/>
    <x v="1"/>
    <n v="0.02"/>
    <n v="736"/>
    <n v="37536"/>
    <n v="0.1"/>
    <n v="3753.6000000000004"/>
    <n v="1"/>
    <n v="3753.6000000000004"/>
    <n v="0.3"/>
    <s v="C"/>
    <n v="12386.88"/>
    <n v="1876.8000000000002"/>
    <n v="1200"/>
    <n v="15463.68"/>
    <n v="25825.919999999998"/>
  </r>
  <r>
    <n v="1068"/>
    <s v="Employee 68"/>
    <x v="0"/>
    <s v="IT Specialist"/>
    <d v="2023-01-01T00:00:00"/>
    <s v="Manager 68"/>
    <x v="1"/>
    <s v="Sweden"/>
    <s v="Full time"/>
    <s v="Level 2"/>
    <s v="G5"/>
    <n v="36800"/>
    <s v="Monthly"/>
    <n v="30000"/>
    <n v="35000"/>
    <n v="40000"/>
    <n v="1.0514285714285714"/>
    <s v="Above Mid"/>
    <x v="1"/>
    <n v="0.02"/>
    <n v="736"/>
    <n v="37536"/>
    <n v="0.1"/>
    <n v="3753.6000000000004"/>
    <n v="1"/>
    <n v="3753.6000000000004"/>
    <n v="0.28999999999999998"/>
    <s v="A"/>
    <n v="11973.983999999999"/>
    <n v="1876.8000000000002"/>
    <n v="500"/>
    <n v="14350.784"/>
    <n v="26938.815999999999"/>
  </r>
  <r>
    <n v="1069"/>
    <s v="Employee 69"/>
    <x v="4"/>
    <s v="Sales Specialist"/>
    <d v="2024-01-01T00:00:00"/>
    <s v="Manager 69"/>
    <x v="2"/>
    <s v="Sweden"/>
    <s v="Full time"/>
    <s v="Level 2"/>
    <s v="G5"/>
    <n v="37908"/>
    <s v="Monthly"/>
    <n v="30000"/>
    <n v="35000"/>
    <n v="40000"/>
    <n v="1.0830857142857142"/>
    <s v="Above Mid"/>
    <x v="1"/>
    <n v="0.02"/>
    <n v="758.16"/>
    <n v="38666.160000000003"/>
    <n v="0.1"/>
    <n v="3866.6160000000004"/>
    <n v="1"/>
    <n v="3866.6160000000004"/>
    <n v="0.27"/>
    <s v="A"/>
    <n v="11483.849520000002"/>
    <n v="1933.3080000000002"/>
    <n v="500"/>
    <n v="13917.157520000002"/>
    <n v="28615.618480000005"/>
  </r>
  <r>
    <n v="1070"/>
    <s v="Employee 70"/>
    <x v="2"/>
    <s v="Finance Specialist"/>
    <d v="2024-01-01T00:00:00"/>
    <s v="Manager 70"/>
    <x v="1"/>
    <s v="Sweden"/>
    <s v="Full time"/>
    <s v="Level 2"/>
    <s v="G5"/>
    <n v="37908"/>
    <s v="Monthly"/>
    <n v="30000"/>
    <n v="35000"/>
    <n v="40000"/>
    <n v="1.0830857142857142"/>
    <s v="Above Mid"/>
    <x v="1"/>
    <n v="0.02"/>
    <n v="758.16"/>
    <n v="38666.160000000003"/>
    <n v="0.1"/>
    <n v="3866.6160000000004"/>
    <n v="1"/>
    <n v="3866.6160000000004"/>
    <n v="0.3"/>
    <s v="C"/>
    <n v="12759.832800000002"/>
    <n v="1933.3080000000002"/>
    <n v="1200"/>
    <n v="15893.140800000003"/>
    <n v="26639.635200000004"/>
  </r>
  <r>
    <n v="1071"/>
    <s v="Employee 71"/>
    <x v="1"/>
    <s v="HR Specialist"/>
    <d v="2024-01-01T00:00:00"/>
    <s v="Manager 71"/>
    <x v="1"/>
    <s v="Sweden"/>
    <s v="Full time"/>
    <s v="Level 2"/>
    <s v="G6"/>
    <n v="42254"/>
    <s v="Monthly"/>
    <n v="35000"/>
    <n v="40000"/>
    <n v="45000"/>
    <n v="1.0563499999999999"/>
    <s v="Above Mid"/>
    <x v="1"/>
    <n v="0.02"/>
    <n v="845.08"/>
    <n v="43099.08"/>
    <n v="0.1"/>
    <n v="4309.9080000000004"/>
    <n v="1"/>
    <n v="4309.9080000000004"/>
    <n v="0.32"/>
    <s v="B"/>
    <n v="15170.876160000002"/>
    <n v="2154.9540000000002"/>
    <n v="800"/>
    <n v="18125.830160000001"/>
    <n v="29283.157840000003"/>
  </r>
  <r>
    <n v="1072"/>
    <s v="Employee 72"/>
    <x v="5"/>
    <s v="Operations Specialist"/>
    <d v="2023-01-01T00:00:00"/>
    <s v="Manager 72"/>
    <x v="2"/>
    <s v="Sweden"/>
    <s v="Full time"/>
    <s v="Level 2"/>
    <s v="G5"/>
    <n v="37908"/>
    <s v="Monthly"/>
    <n v="30000"/>
    <n v="35000"/>
    <n v="40000"/>
    <n v="1.0830857142857142"/>
    <s v="Above Mid"/>
    <x v="1"/>
    <n v="0.02"/>
    <n v="758.16"/>
    <n v="38666.160000000003"/>
    <n v="0.1"/>
    <n v="3866.6160000000004"/>
    <n v="1"/>
    <n v="3866.6160000000004"/>
    <n v="0.31"/>
    <s v="C"/>
    <n v="13185.160560000002"/>
    <n v="1933.3080000000002"/>
    <n v="1200"/>
    <n v="16318.468560000003"/>
    <n v="26214.307440000004"/>
  </r>
  <r>
    <n v="1073"/>
    <s v="Employee 73"/>
    <x v="5"/>
    <s v="Operations Specialist"/>
    <d v="2023-01-01T00:00:00"/>
    <s v="Manager 73"/>
    <x v="2"/>
    <s v="Sweden"/>
    <s v="Full time"/>
    <s v="Level 2"/>
    <s v="G5"/>
    <n v="37908"/>
    <s v="Monthly"/>
    <n v="30000"/>
    <n v="35000"/>
    <n v="40000"/>
    <n v="1.0830857142857142"/>
    <s v="Above Mid"/>
    <x v="1"/>
    <n v="0.02"/>
    <n v="758.16"/>
    <n v="38666.160000000003"/>
    <n v="0.1"/>
    <n v="3866.6160000000004"/>
    <n v="1"/>
    <n v="3866.6160000000004"/>
    <n v="0.27"/>
    <s v="A"/>
    <n v="11483.849520000002"/>
    <n v="1933.3080000000002"/>
    <n v="500"/>
    <n v="13917.157520000002"/>
    <n v="28615.618480000005"/>
  </r>
  <r>
    <n v="1074"/>
    <s v="Employee 74"/>
    <x v="1"/>
    <s v="HR Specialist"/>
    <d v="2024-01-01T00:00:00"/>
    <s v="Manager 74"/>
    <x v="1"/>
    <s v="Sweden"/>
    <s v="Full time"/>
    <s v="Level 2"/>
    <s v="G6"/>
    <n v="42254"/>
    <s v="Monthly"/>
    <n v="35000"/>
    <n v="40000"/>
    <n v="45000"/>
    <n v="1.0563499999999999"/>
    <s v="Above Mid"/>
    <x v="1"/>
    <n v="0.02"/>
    <n v="845.08"/>
    <n v="43099.08"/>
    <n v="0.1"/>
    <n v="4309.9080000000004"/>
    <n v="1"/>
    <n v="4309.9080000000004"/>
    <n v="0.28999999999999998"/>
    <s v="B"/>
    <n v="13748.606520000001"/>
    <n v="2154.9540000000002"/>
    <n v="800"/>
    <n v="16703.560519999999"/>
    <n v="30705.427480000006"/>
  </r>
  <r>
    <n v="1075"/>
    <s v="Employee 75"/>
    <x v="5"/>
    <s v="Operations Specialist"/>
    <d v="2023-01-01T00:00:00"/>
    <s v="Manager 75"/>
    <x v="2"/>
    <s v="Sweden"/>
    <s v="Full time"/>
    <s v="Level 2"/>
    <s v="G5"/>
    <n v="37908"/>
    <s v="Monthly"/>
    <n v="30000"/>
    <n v="35000"/>
    <n v="40000"/>
    <n v="1.0830857142857142"/>
    <s v="Above Mid"/>
    <x v="1"/>
    <n v="0.02"/>
    <n v="758.16"/>
    <n v="38666.160000000003"/>
    <n v="0.1"/>
    <n v="3866.6160000000004"/>
    <n v="1"/>
    <n v="3866.6160000000004"/>
    <n v="0.32"/>
    <s v="B"/>
    <n v="13610.488320000002"/>
    <n v="1933.3080000000002"/>
    <n v="800"/>
    <n v="16343.796320000003"/>
    <n v="26188.979680000004"/>
  </r>
  <r>
    <n v="1076"/>
    <s v="Employee 76"/>
    <x v="0"/>
    <s v="Senior IT Specialist"/>
    <d v="2024-01-01T00:00:00"/>
    <s v="Manager 76"/>
    <x v="1"/>
    <s v="Sweden"/>
    <s v="Full time"/>
    <s v="Level 3"/>
    <s v="G7"/>
    <n v="45304"/>
    <s v="Monthly"/>
    <n v="38000"/>
    <n v="50000"/>
    <n v="56000"/>
    <n v="0.90608"/>
    <s v="Below Mid"/>
    <x v="1"/>
    <n v="0.03"/>
    <n v="1359.12"/>
    <n v="46663.12"/>
    <n v="0.15"/>
    <n v="6999.4679999999998"/>
    <n v="1"/>
    <n v="6999.4679999999998"/>
    <n v="0.28000000000000003"/>
    <s v="A"/>
    <n v="15025.524640000003"/>
    <n v="2333.1560000000004"/>
    <n v="500"/>
    <n v="17858.680640000002"/>
    <n v="35803.907359999997"/>
  </r>
  <r>
    <n v="1077"/>
    <s v="Employee 77"/>
    <x v="4"/>
    <s v="Sales Specialist"/>
    <d v="2024-01-01T00:00:00"/>
    <s v="Manager 77"/>
    <x v="2"/>
    <s v="Sweden"/>
    <s v="Full time"/>
    <s v="Level 2"/>
    <s v="G5"/>
    <n v="37908"/>
    <s v="Monthly"/>
    <n v="30000"/>
    <n v="35000"/>
    <n v="40000"/>
    <n v="1.0830857142857142"/>
    <s v="Above Mid"/>
    <x v="1"/>
    <n v="0.02"/>
    <n v="758.16"/>
    <n v="38666.160000000003"/>
    <n v="0.1"/>
    <n v="3866.6160000000004"/>
    <n v="1"/>
    <n v="3866.6160000000004"/>
    <n v="0.32"/>
    <s v="B"/>
    <n v="13610.488320000002"/>
    <n v="1933.3080000000002"/>
    <n v="800"/>
    <n v="16343.796320000003"/>
    <n v="26188.979680000004"/>
  </r>
  <r>
    <n v="1078"/>
    <s v="Employee 78"/>
    <x v="0"/>
    <s v="Senior IT Specialist"/>
    <d v="2024-01-01T00:00:00"/>
    <s v="Manager 78"/>
    <x v="1"/>
    <s v="Sweden"/>
    <s v="Full time"/>
    <s v="Level 3"/>
    <s v="G7"/>
    <n v="45304"/>
    <s v="Monthly"/>
    <n v="38000"/>
    <n v="50000"/>
    <n v="56000"/>
    <n v="0.90608"/>
    <s v="Below Mid"/>
    <x v="1"/>
    <n v="0.03"/>
    <n v="1359.12"/>
    <n v="46663.12"/>
    <n v="0.15"/>
    <n v="6999.4679999999998"/>
    <n v="1"/>
    <n v="6999.4679999999998"/>
    <n v="0.28999999999999998"/>
    <s v="C"/>
    <n v="15562.150519999999"/>
    <n v="2333.1560000000004"/>
    <n v="1200"/>
    <n v="19095.306519999998"/>
    <n v="34567.281480000005"/>
  </r>
  <r>
    <n v="1079"/>
    <s v="Employee 79"/>
    <x v="0"/>
    <s v="Senior IT Specialist"/>
    <d v="2024-01-01T00:00:00"/>
    <s v="Manager 79"/>
    <x v="1"/>
    <s v="Sweden"/>
    <s v="Full time"/>
    <s v="Level 3"/>
    <s v="G7"/>
    <n v="45304"/>
    <s v="Monthly"/>
    <n v="38000"/>
    <n v="50000"/>
    <n v="56000"/>
    <n v="0.90608"/>
    <s v="Below Mid"/>
    <x v="1"/>
    <n v="0.03"/>
    <n v="1359.12"/>
    <n v="46663.12"/>
    <n v="0.15"/>
    <n v="6999.4679999999998"/>
    <n v="1"/>
    <n v="6999.4679999999998"/>
    <n v="0.27"/>
    <s v="B"/>
    <n v="14488.898760000002"/>
    <n v="2333.1560000000004"/>
    <n v="800"/>
    <n v="17622.054760000003"/>
    <n v="36040.533240000004"/>
  </r>
  <r>
    <n v="1080"/>
    <s v="Employee 80"/>
    <x v="1"/>
    <s v="HR Specialist"/>
    <d v="2024-01-01T00:00:00"/>
    <s v="Manager 80"/>
    <x v="1"/>
    <s v="Sweden"/>
    <s v="Full time"/>
    <s v="Level 2"/>
    <s v="G6"/>
    <n v="42254"/>
    <s v="Monthly"/>
    <n v="35000"/>
    <n v="40000"/>
    <n v="45000"/>
    <n v="1.0563499999999999"/>
    <s v="Above Mid"/>
    <x v="1"/>
    <n v="0.02"/>
    <n v="845.08"/>
    <n v="43099.08"/>
    <n v="0.1"/>
    <n v="4309.9080000000004"/>
    <n v="1"/>
    <n v="4309.9080000000004"/>
    <n v="0.31"/>
    <s v="A"/>
    <n v="14696.786280000002"/>
    <n v="2154.9540000000002"/>
    <n v="500"/>
    <n v="17351.740280000002"/>
    <n v="30057.247720000003"/>
  </r>
  <r>
    <n v="1081"/>
    <s v="Employee 81"/>
    <x v="2"/>
    <s v="Finance Specialist"/>
    <d v="2024-01-01T00:00:00"/>
    <s v="Manager 81"/>
    <x v="1"/>
    <s v="Sweden"/>
    <s v="Full time"/>
    <s v="Level 2"/>
    <s v="G5"/>
    <n v="39020"/>
    <s v="Monthly"/>
    <n v="30000"/>
    <n v="35000"/>
    <n v="40000"/>
    <n v="1.1148571428571428"/>
    <s v="Above Mid"/>
    <x v="1"/>
    <n v="0.02"/>
    <n v="780.4"/>
    <n v="39800.400000000001"/>
    <n v="0.1"/>
    <n v="3980.0400000000004"/>
    <n v="1"/>
    <n v="3980.0400000000004"/>
    <n v="0.3"/>
    <s v="A"/>
    <n v="13134.132"/>
    <n v="1990.0200000000002"/>
    <n v="500"/>
    <n v="15624.152"/>
    <n v="28156.288"/>
  </r>
  <r>
    <n v="1082"/>
    <s v="Employee 82"/>
    <x v="2"/>
    <s v="Finance Manager"/>
    <d v="2020-01-01T00:00:00"/>
    <s v="Manager 82"/>
    <x v="1"/>
    <s v="Sweden"/>
    <s v="Full time"/>
    <s v="Level 4"/>
    <s v="G8"/>
    <n v="73097"/>
    <s v="Monthly"/>
    <n v="55000"/>
    <n v="75000"/>
    <n v="85000"/>
    <n v="0.97462666666666664"/>
    <s v="Around Mid"/>
    <x v="1"/>
    <n v="2.5000000000000001E-2"/>
    <n v="1827.4250000000002"/>
    <n v="74924.425000000003"/>
    <n v="0.2"/>
    <n v="14984.885000000002"/>
    <n v="1"/>
    <n v="14984.885000000002"/>
    <n v="0.32"/>
    <s v="A"/>
    <n v="28770.979200000002"/>
    <n v="3746.2212500000005"/>
    <n v="500"/>
    <n v="33017.200450000004"/>
    <n v="56892.109549999994"/>
  </r>
  <r>
    <n v="1083"/>
    <s v="Employee 83"/>
    <x v="2"/>
    <s v="Finance Manager"/>
    <d v="2020-01-01T00:00:00"/>
    <s v="Manager 83"/>
    <x v="1"/>
    <s v="Sweden"/>
    <s v="Full time"/>
    <s v="Level 4"/>
    <s v="G8"/>
    <n v="73097"/>
    <s v="Monthly"/>
    <n v="55000"/>
    <n v="75000"/>
    <n v="85000"/>
    <n v="0.97462666666666664"/>
    <s v="Around Mid"/>
    <x v="1"/>
    <n v="2.5000000000000001E-2"/>
    <n v="1827.4250000000002"/>
    <n v="74924.425000000003"/>
    <n v="0.2"/>
    <n v="14984.885000000002"/>
    <n v="1"/>
    <n v="14984.885000000002"/>
    <n v="0.3"/>
    <s v="A"/>
    <n v="26972.792999999998"/>
    <n v="3746.2212500000005"/>
    <n v="500"/>
    <n v="31219.01425"/>
    <n v="58690.295749999997"/>
  </r>
  <r>
    <n v="1084"/>
    <s v="Employee 84"/>
    <x v="1"/>
    <s v="HR Specialist"/>
    <d v="2024-01-01T00:00:00"/>
    <s v="Manager 84"/>
    <x v="1"/>
    <s v="Sweden"/>
    <s v="Full time"/>
    <s v="Level 2"/>
    <s v="G6"/>
    <n v="42254"/>
    <s v="Monthly"/>
    <n v="35000"/>
    <n v="40000"/>
    <n v="45000"/>
    <n v="1.0563499999999999"/>
    <s v="Above Mid"/>
    <x v="1"/>
    <n v="0.02"/>
    <n v="845.08"/>
    <n v="43099.08"/>
    <n v="0.1"/>
    <n v="4309.9080000000004"/>
    <n v="1"/>
    <n v="4309.9080000000004"/>
    <n v="0.31"/>
    <s v="A"/>
    <n v="14696.786280000002"/>
    <n v="2154.9540000000002"/>
    <n v="500"/>
    <n v="17351.740280000002"/>
    <n v="30057.247720000003"/>
  </r>
  <r>
    <n v="1085"/>
    <s v="Employee 85"/>
    <x v="0"/>
    <s v="Senior IT Specialist"/>
    <d v="2024-01-01T00:00:00"/>
    <s v="Manager 85"/>
    <x v="1"/>
    <s v="Sweden"/>
    <s v="Full time"/>
    <s v="Level 3"/>
    <s v="G7"/>
    <n v="45304"/>
    <s v="Monthly"/>
    <n v="38000"/>
    <n v="50000"/>
    <n v="56000"/>
    <n v="0.90608"/>
    <s v="Below Mid"/>
    <x v="1"/>
    <n v="0.03"/>
    <n v="1359.12"/>
    <n v="46663.12"/>
    <n v="0.15"/>
    <n v="6999.4679999999998"/>
    <n v="1"/>
    <n v="6999.4679999999998"/>
    <n v="0.27"/>
    <s v="B"/>
    <n v="14488.898760000002"/>
    <n v="2333.1560000000004"/>
    <n v="800"/>
    <n v="17622.054760000003"/>
    <n v="36040.533240000004"/>
  </r>
  <r>
    <n v="1086"/>
    <s v="Employee 86"/>
    <x v="0"/>
    <s v="Senior IT Specialist"/>
    <d v="2024-01-01T00:00:00"/>
    <s v="Manager 86"/>
    <x v="1"/>
    <s v="Sweden"/>
    <s v="Full time"/>
    <s v="Level 3"/>
    <s v="G7"/>
    <n v="45304"/>
    <s v="Monthly"/>
    <n v="38000"/>
    <n v="50000"/>
    <n v="56000"/>
    <n v="0.90608"/>
    <s v="Below Mid"/>
    <x v="1"/>
    <n v="0.03"/>
    <n v="1359.12"/>
    <n v="46663.12"/>
    <n v="0.15"/>
    <n v="6999.4679999999998"/>
    <n v="1"/>
    <n v="6999.4679999999998"/>
    <n v="0.28999999999999998"/>
    <s v="C"/>
    <n v="15562.150519999999"/>
    <n v="2333.1560000000004"/>
    <n v="1200"/>
    <n v="19095.306519999998"/>
    <n v="34567.281480000005"/>
  </r>
  <r>
    <n v="1087"/>
    <s v="Employee 87"/>
    <x v="2"/>
    <s v="Finance Manager"/>
    <d v="2020-01-01T00:00:00"/>
    <s v="Manager 87"/>
    <x v="1"/>
    <s v="Sweden"/>
    <s v="Full time"/>
    <s v="Level 4"/>
    <s v="G8"/>
    <n v="73097"/>
    <s v="Monthly"/>
    <n v="55000"/>
    <n v="75000"/>
    <n v="85000"/>
    <n v="0.97462666666666664"/>
    <s v="Around Mid"/>
    <x v="1"/>
    <n v="2.5000000000000001E-2"/>
    <n v="1827.4250000000002"/>
    <n v="74924.425000000003"/>
    <n v="0.2"/>
    <n v="14984.885000000002"/>
    <n v="1"/>
    <n v="14984.885000000002"/>
    <n v="0.31"/>
    <s v="A"/>
    <n v="27871.8861"/>
    <n v="3746.2212500000005"/>
    <n v="500"/>
    <n v="32118.107349999998"/>
    <n v="57791.202649999999"/>
  </r>
  <r>
    <n v="1088"/>
    <s v="Employee 88"/>
    <x v="5"/>
    <s v="Operations Specialist"/>
    <d v="2022-01-01T00:00:00"/>
    <s v="Manager 88"/>
    <x v="2"/>
    <s v="Sweden"/>
    <s v="Full time"/>
    <s v="Level 2"/>
    <s v="G5"/>
    <n v="39020"/>
    <s v="Monthly"/>
    <n v="30000"/>
    <n v="35000"/>
    <n v="40000"/>
    <n v="1.1148571428571428"/>
    <s v="Above Mid"/>
    <x v="1"/>
    <n v="0.02"/>
    <n v="780.4"/>
    <n v="39800.400000000001"/>
    <n v="0.1"/>
    <n v="3980.0400000000004"/>
    <n v="1"/>
    <n v="3980.0400000000004"/>
    <n v="0.3"/>
    <s v="B"/>
    <n v="13134.132"/>
    <n v="1990.0200000000002"/>
    <n v="800"/>
    <n v="15924.152"/>
    <n v="27856.288"/>
  </r>
  <r>
    <n v="1089"/>
    <s v="Employee 89"/>
    <x v="0"/>
    <s v="Senior IT Specialist"/>
    <d v="2024-01-01T00:00:00"/>
    <s v="Manager 89"/>
    <x v="1"/>
    <s v="Sweden"/>
    <s v="Full time"/>
    <s v="Level 3"/>
    <s v="G7"/>
    <n v="45304"/>
    <s v="Monthly"/>
    <n v="38000"/>
    <n v="50000"/>
    <n v="56000"/>
    <n v="0.90608"/>
    <s v="Below Mid"/>
    <x v="1"/>
    <n v="0.03"/>
    <n v="1359.12"/>
    <n v="46663.12"/>
    <n v="0.15"/>
    <n v="6999.4679999999998"/>
    <n v="1"/>
    <n v="6999.4679999999998"/>
    <n v="0.28000000000000003"/>
    <s v="C"/>
    <n v="15025.524640000003"/>
    <n v="2333.1560000000004"/>
    <n v="1200"/>
    <n v="18558.680640000002"/>
    <n v="35103.907359999997"/>
  </r>
  <r>
    <n v="1090"/>
    <s v="Employee 90"/>
    <x v="5"/>
    <s v="Operations Specialist"/>
    <d v="2022-01-01T00:00:00"/>
    <s v="Manager 90"/>
    <x v="2"/>
    <s v="Sweden"/>
    <s v="Full time"/>
    <s v="Level 2"/>
    <s v="G5"/>
    <n v="39020"/>
    <s v="Monthly"/>
    <n v="30000"/>
    <n v="35000"/>
    <n v="40000"/>
    <n v="1.1148571428571428"/>
    <s v="Above Mid"/>
    <x v="1"/>
    <n v="0.02"/>
    <n v="780.4"/>
    <n v="39800.400000000001"/>
    <n v="0.1"/>
    <n v="3980.0400000000004"/>
    <n v="1"/>
    <n v="3980.0400000000004"/>
    <n v="0.31"/>
    <s v="C"/>
    <n v="13571.936400000001"/>
    <n v="1990.0200000000002"/>
    <n v="1200"/>
    <n v="16761.956400000003"/>
    <n v="27018.4836"/>
  </r>
  <r>
    <n v="1091"/>
    <s v="Employee 91"/>
    <x v="3"/>
    <s v="Senior Market Specialist"/>
    <d v="2024-01-01T00:00:00"/>
    <s v="Manager 91"/>
    <x v="1"/>
    <s v="Sweden"/>
    <s v="Full time"/>
    <s v="Level 3"/>
    <s v="G7"/>
    <n v="45304"/>
    <s v="Monthly"/>
    <n v="38000"/>
    <n v="50000"/>
    <n v="56000"/>
    <n v="0.90608"/>
    <s v="Below Mid"/>
    <x v="1"/>
    <n v="0.03"/>
    <n v="1359.12"/>
    <n v="46663.12"/>
    <n v="0.15"/>
    <n v="6999.4679999999998"/>
    <n v="1"/>
    <n v="6999.4679999999998"/>
    <n v="0.27"/>
    <s v="B"/>
    <n v="14488.898760000002"/>
    <n v="2333.1560000000004"/>
    <n v="800"/>
    <n v="17622.054760000003"/>
    <n v="36040.533240000004"/>
  </r>
  <r>
    <n v="1092"/>
    <s v="Employee 92"/>
    <x v="0"/>
    <s v="Senior IT Specialist"/>
    <d v="2024-01-01T00:00:00"/>
    <s v="Manager 92"/>
    <x v="1"/>
    <s v="Sweden"/>
    <s v="Full time"/>
    <s v="Level 3"/>
    <s v="G7"/>
    <n v="45304"/>
    <s v="Monthly"/>
    <n v="38000"/>
    <n v="50000"/>
    <n v="56000"/>
    <n v="0.90608"/>
    <s v="Below Mid"/>
    <x v="1"/>
    <n v="0.03"/>
    <n v="1359.12"/>
    <n v="46663.12"/>
    <n v="0.15"/>
    <n v="6999.4679999999998"/>
    <n v="1"/>
    <n v="6999.4679999999998"/>
    <n v="0.32"/>
    <s v="C"/>
    <n v="17172.028160000002"/>
    <n v="2333.1560000000004"/>
    <n v="1200"/>
    <n v="20705.184160000001"/>
    <n v="32957.403839999999"/>
  </r>
  <r>
    <n v="1093"/>
    <s v="Employee 93"/>
    <x v="5"/>
    <s v="Operations Specialist"/>
    <d v="2022-01-01T00:00:00"/>
    <s v="Manager 93"/>
    <x v="2"/>
    <s v="Sweden"/>
    <s v="Full time"/>
    <s v="Level 2"/>
    <s v="G5"/>
    <n v="39020"/>
    <s v="Monthly"/>
    <n v="30000"/>
    <n v="35000"/>
    <n v="40000"/>
    <n v="1.1148571428571428"/>
    <s v="Above Mid"/>
    <x v="1"/>
    <n v="0.02"/>
    <n v="780.4"/>
    <n v="39800.400000000001"/>
    <n v="0.1"/>
    <n v="3980.0400000000004"/>
    <n v="1"/>
    <n v="3980.0400000000004"/>
    <n v="0.32"/>
    <s v="B"/>
    <n v="14009.740800000001"/>
    <n v="1990.0200000000002"/>
    <n v="800"/>
    <n v="16799.760800000004"/>
    <n v="26980.679199999999"/>
  </r>
  <r>
    <n v="1094"/>
    <s v="Employee 94"/>
    <x v="1"/>
    <s v="HR Manager"/>
    <d v="2020-01-01T00:00:00"/>
    <s v="Manager 94"/>
    <x v="1"/>
    <s v="Sweden"/>
    <s v="Full time"/>
    <s v="Level 4"/>
    <s v="G9"/>
    <n v="85007"/>
    <s v="Monthly"/>
    <n v="58000"/>
    <n v="75000"/>
    <n v="87000"/>
    <n v="1.1334266666666666"/>
    <s v="Above Mid"/>
    <x v="1"/>
    <n v="0.02"/>
    <n v="1700.14"/>
    <n v="86707.14"/>
    <n v="0.2"/>
    <n v="17341.428"/>
    <n v="1"/>
    <n v="17341.428"/>
    <n v="0.32"/>
    <s v="C"/>
    <n v="33295.54176"/>
    <n v="4335.357"/>
    <n v="1200"/>
    <n v="38830.898759999996"/>
    <n v="65217.669240000003"/>
  </r>
  <r>
    <n v="1095"/>
    <s v="Employee 95"/>
    <x v="3"/>
    <s v="Senior Market Specialist"/>
    <d v="2024-01-01T00:00:00"/>
    <s v="Manager 95"/>
    <x v="1"/>
    <s v="Sweden"/>
    <s v="Full time"/>
    <s v="Level 3"/>
    <s v="G7"/>
    <n v="45304"/>
    <s v="Monthly"/>
    <n v="38000"/>
    <n v="50000"/>
    <n v="56000"/>
    <n v="0.90608"/>
    <s v="Below Mid"/>
    <x v="1"/>
    <n v="0.03"/>
    <n v="1359.12"/>
    <n v="46663.12"/>
    <n v="0.15"/>
    <n v="6999.4679999999998"/>
    <n v="1"/>
    <n v="6999.4679999999998"/>
    <n v="0.31"/>
    <s v="A"/>
    <n v="16635.402280000002"/>
    <n v="2333.1560000000004"/>
    <n v="500"/>
    <n v="19468.558280000001"/>
    <n v="34194.029720000006"/>
  </r>
  <r>
    <n v="1096"/>
    <s v="Employee 96"/>
    <x v="1"/>
    <s v="HR Manager"/>
    <d v="2020-01-01T00:00:00"/>
    <s v="Manager 96"/>
    <x v="1"/>
    <s v="Sweden"/>
    <s v="Full time"/>
    <s v="Level 4"/>
    <s v="G9"/>
    <n v="85007"/>
    <s v="Monthly"/>
    <n v="58000"/>
    <n v="75000"/>
    <n v="87000"/>
    <n v="1.1334266666666666"/>
    <s v="Above Mid"/>
    <x v="1"/>
    <n v="0.02"/>
    <n v="1700.14"/>
    <n v="86707.14"/>
    <n v="0.2"/>
    <n v="17341.428"/>
    <n v="1"/>
    <n v="17341.428"/>
    <n v="0.31"/>
    <s v="B"/>
    <n v="32255.056079999998"/>
    <n v="4335.357"/>
    <n v="800"/>
    <n v="37390.413079999998"/>
    <n v="66658.154920000001"/>
  </r>
  <r>
    <n v="1097"/>
    <s v="Employee 97"/>
    <x v="2"/>
    <s v="Finance Manager"/>
    <d v="2020-01-01T00:00:00"/>
    <s v="Manager 97"/>
    <x v="1"/>
    <s v="Sweden"/>
    <s v="Full time"/>
    <s v="Level 4"/>
    <s v="G8"/>
    <n v="73097"/>
    <s v="Monthly"/>
    <n v="55000"/>
    <n v="75000"/>
    <n v="85000"/>
    <n v="0.97462666666666664"/>
    <s v="Around Mid"/>
    <x v="1"/>
    <n v="2.5000000000000001E-2"/>
    <n v="1827.4250000000002"/>
    <n v="74924.425000000003"/>
    <n v="0.2"/>
    <n v="14984.885000000002"/>
    <n v="1"/>
    <n v="14984.885000000002"/>
    <n v="0.32"/>
    <s v="B"/>
    <n v="28770.979200000002"/>
    <n v="3746.2212500000005"/>
    <n v="800"/>
    <n v="33317.200450000004"/>
    <n v="56592.109549999994"/>
  </r>
  <r>
    <n v="1098"/>
    <s v="Employee 98"/>
    <x v="5"/>
    <s v="Operations Specialist"/>
    <d v="2022-01-01T00:00:00"/>
    <s v="Manager 98"/>
    <x v="2"/>
    <s v="Sweden"/>
    <s v="Full time"/>
    <s v="Level 2"/>
    <s v="G5"/>
    <n v="39020"/>
    <s v="Monthly"/>
    <n v="30000"/>
    <n v="35000"/>
    <n v="40000"/>
    <n v="1.1148571428571428"/>
    <s v="Above Mid"/>
    <x v="1"/>
    <n v="0.02"/>
    <n v="780.4"/>
    <n v="39800.400000000001"/>
    <n v="0.1"/>
    <n v="3980.0400000000004"/>
    <n v="1"/>
    <n v="3980.0400000000004"/>
    <n v="0.28000000000000003"/>
    <s v="B"/>
    <n v="12258.523200000001"/>
    <n v="1990.0200000000002"/>
    <n v="800"/>
    <n v="15048.543200000002"/>
    <n v="28731.896800000002"/>
  </r>
  <r>
    <n v="1099"/>
    <s v="Employee 99"/>
    <x v="4"/>
    <s v="Sales Specialist"/>
    <d v="2024-01-01T00:00:00"/>
    <s v="Manager 99"/>
    <x v="2"/>
    <s v="Sweden"/>
    <s v="Full time"/>
    <s v="Level 2"/>
    <s v="G5"/>
    <n v="39020"/>
    <s v="Monthly"/>
    <n v="30000"/>
    <n v="35000"/>
    <n v="40000"/>
    <n v="1.1148571428571428"/>
    <s v="Above Mid"/>
    <x v="1"/>
    <n v="0.02"/>
    <n v="780.4"/>
    <n v="39800.400000000001"/>
    <n v="0.1"/>
    <n v="3980.0400000000004"/>
    <n v="1"/>
    <n v="3980.0400000000004"/>
    <n v="0.31"/>
    <s v="A"/>
    <n v="13571.936400000001"/>
    <n v="1990.0200000000002"/>
    <n v="500"/>
    <n v="16061.956400000001"/>
    <n v="27718.4836"/>
  </r>
  <r>
    <n v="1100"/>
    <s v="Employee 100"/>
    <x v="4"/>
    <s v="Sales Manager"/>
    <d v="2020-01-01T00:00:00"/>
    <s v="Manager 100"/>
    <x v="0"/>
    <s v="Sweden"/>
    <s v="Full time"/>
    <s v="Level 4"/>
    <s v="G8"/>
    <n v="73097"/>
    <s v="Monthly"/>
    <n v="55000"/>
    <n v="75000"/>
    <n v="85000"/>
    <n v="0.97462666666666664"/>
    <s v="Around Mid"/>
    <x v="0"/>
    <n v="0.04"/>
    <n v="2923.88"/>
    <n v="76020.88"/>
    <n v="0.2"/>
    <n v="15204.176000000001"/>
    <n v="1.2"/>
    <n v="18245.011200000001"/>
    <n v="0.32"/>
    <s v="B"/>
    <n v="30165.085184000003"/>
    <n v="3801.0440000000003"/>
    <n v="800"/>
    <n v="34766.129184000005"/>
    <n v="59499.762016000008"/>
  </r>
  <r>
    <n v="1101"/>
    <s v="Employee 101"/>
    <x v="1"/>
    <s v="HR Manager"/>
    <d v="2020-01-01T00:00:00"/>
    <s v="Manager 101"/>
    <x v="1"/>
    <s v="Sweden"/>
    <s v="Full time"/>
    <s v="Level 4"/>
    <s v="G9"/>
    <n v="85007"/>
    <s v="Monthly"/>
    <n v="58000"/>
    <n v="75000"/>
    <n v="87000"/>
    <n v="1.1334266666666666"/>
    <s v="Above Mid"/>
    <x v="1"/>
    <n v="0.02"/>
    <n v="1700.14"/>
    <n v="86707.14"/>
    <n v="0.2"/>
    <n v="17341.428"/>
    <n v="1"/>
    <n v="17341.428"/>
    <n v="0.32"/>
    <s v="C"/>
    <n v="33295.54176"/>
    <n v="4335.357"/>
    <n v="1200"/>
    <n v="38830.898759999996"/>
    <n v="65217.669240000003"/>
  </r>
  <r>
    <n v="1102"/>
    <s v="Employee 102"/>
    <x v="1"/>
    <s v="HR Manager"/>
    <d v="2020-01-01T00:00:00"/>
    <s v="Manager 102"/>
    <x v="1"/>
    <s v="Sweden"/>
    <s v="Full time"/>
    <s v="Level 4"/>
    <s v="G9"/>
    <n v="85007"/>
    <s v="Monthly"/>
    <n v="58000"/>
    <n v="75000"/>
    <n v="87000"/>
    <n v="1.1334266666666666"/>
    <s v="Above Mid"/>
    <x v="1"/>
    <n v="0.02"/>
    <n v="1700.14"/>
    <n v="86707.14"/>
    <n v="0.2"/>
    <n v="17341.428"/>
    <n v="1"/>
    <n v="17341.428"/>
    <n v="0.31"/>
    <s v="B"/>
    <n v="32255.056079999998"/>
    <n v="4335.357"/>
    <n v="800"/>
    <n v="37390.413079999998"/>
    <n v="66658.154920000001"/>
  </r>
  <r>
    <n v="1103"/>
    <s v="Employee 103"/>
    <x v="2"/>
    <s v="Finance Manager"/>
    <d v="2020-01-01T00:00:00"/>
    <s v="Manager 103"/>
    <x v="1"/>
    <s v="Sweden"/>
    <s v="Full time"/>
    <s v="Level 4"/>
    <s v="G8"/>
    <n v="73097"/>
    <s v="Monthly"/>
    <n v="55000"/>
    <n v="75000"/>
    <n v="85000"/>
    <n v="0.97462666666666664"/>
    <s v="Around Mid"/>
    <x v="1"/>
    <n v="2.5000000000000001E-2"/>
    <n v="1827.4250000000002"/>
    <n v="74924.425000000003"/>
    <n v="0.2"/>
    <n v="14984.885000000002"/>
    <n v="1"/>
    <n v="14984.885000000002"/>
    <n v="0.31"/>
    <s v="A"/>
    <n v="27871.8861"/>
    <n v="3746.2212500000005"/>
    <n v="500"/>
    <n v="32118.107349999998"/>
    <n v="57791.202649999999"/>
  </r>
  <r>
    <n v="1104"/>
    <s v="Employee 104"/>
    <x v="0"/>
    <s v="Senior IT Specialist"/>
    <d v="2024-01-01T00:00:00"/>
    <s v="Manager 104"/>
    <x v="1"/>
    <s v="Sweden"/>
    <s v="Full time"/>
    <s v="Level 3"/>
    <s v="G7"/>
    <n v="45304"/>
    <s v="Monthly"/>
    <n v="38000"/>
    <n v="50000"/>
    <n v="56000"/>
    <n v="0.90608"/>
    <s v="Below Mid"/>
    <x v="1"/>
    <n v="0.03"/>
    <n v="1359.12"/>
    <n v="46663.12"/>
    <n v="0.15"/>
    <n v="6999.4679999999998"/>
    <n v="1"/>
    <n v="6999.4679999999998"/>
    <n v="0.32"/>
    <s v="C"/>
    <n v="17172.028160000002"/>
    <n v="2333.1560000000004"/>
    <n v="1200"/>
    <n v="20705.184160000001"/>
    <n v="32957.403839999999"/>
  </r>
  <r>
    <n v="1105"/>
    <s v="Employee 105"/>
    <x v="4"/>
    <s v="Sales Manager"/>
    <d v="2020-01-01T00:00:00"/>
    <s v="Manager 105"/>
    <x v="0"/>
    <s v="Sweden"/>
    <s v="Full time"/>
    <s v="Level 4"/>
    <s v="G8"/>
    <n v="73097"/>
    <s v="Monthly"/>
    <n v="55000"/>
    <n v="75000"/>
    <n v="85000"/>
    <n v="0.97462666666666664"/>
    <s v="Around Mid"/>
    <x v="0"/>
    <n v="0.04"/>
    <n v="2923.88"/>
    <n v="76020.88"/>
    <n v="0.2"/>
    <n v="15204.176000000001"/>
    <n v="1.2"/>
    <n v="18245.011200000001"/>
    <n v="0.32"/>
    <s v="B"/>
    <n v="30165.085184000003"/>
    <n v="3801.0440000000003"/>
    <n v="800"/>
    <n v="34766.129184000005"/>
    <n v="59499.762016000008"/>
  </r>
  <r>
    <n v="1106"/>
    <s v="Employee 106"/>
    <x v="4"/>
    <s v="Sales Manager"/>
    <d v="2020-01-01T00:00:00"/>
    <s v="Manager 106"/>
    <x v="0"/>
    <s v="Sweden"/>
    <s v="Full time"/>
    <s v="Level 4"/>
    <s v="G8"/>
    <n v="73097"/>
    <s v="Monthly"/>
    <n v="55000"/>
    <n v="75000"/>
    <n v="85000"/>
    <n v="0.97462666666666664"/>
    <s v="Around Mid"/>
    <x v="0"/>
    <n v="0.04"/>
    <n v="2923.88"/>
    <n v="76020.88"/>
    <n v="0.2"/>
    <n v="15204.176000000001"/>
    <n v="1.2"/>
    <n v="18245.011200000001"/>
    <n v="0.32"/>
    <s v="B"/>
    <n v="30165.085184000003"/>
    <n v="3801.0440000000003"/>
    <n v="800"/>
    <n v="34766.129184000005"/>
    <n v="59499.762016000008"/>
  </r>
  <r>
    <n v="1107"/>
    <s v="Employee 107"/>
    <x v="1"/>
    <s v="HR Manager"/>
    <d v="2020-01-01T00:00:00"/>
    <s v="Manager 107"/>
    <x v="1"/>
    <s v="Sweden"/>
    <s v="Full time"/>
    <s v="Level 4"/>
    <s v="G8"/>
    <n v="73097"/>
    <s v="Monthly"/>
    <n v="55000"/>
    <n v="75000"/>
    <n v="85000"/>
    <n v="0.97462666666666664"/>
    <s v="Around Mid"/>
    <x v="1"/>
    <n v="2.5000000000000001E-2"/>
    <n v="1827.4250000000002"/>
    <n v="74924.425000000003"/>
    <n v="0.2"/>
    <n v="14984.885000000002"/>
    <n v="1"/>
    <n v="14984.885000000002"/>
    <n v="0.3"/>
    <s v="C"/>
    <n v="26972.792999999998"/>
    <n v="3746.2212500000005"/>
    <n v="1200"/>
    <n v="31919.01425"/>
    <n v="57990.295749999997"/>
  </r>
  <r>
    <n v="1108"/>
    <s v="Employee 108"/>
    <x v="5"/>
    <s v="Operations Specialist"/>
    <d v="2022-01-01T00:00:00"/>
    <s v="Manager 108"/>
    <x v="0"/>
    <s v="Sweden"/>
    <s v="Full time"/>
    <s v="Level 2"/>
    <s v="G5"/>
    <n v="39020"/>
    <s v="Monthly"/>
    <n v="30000"/>
    <n v="35000"/>
    <n v="40000"/>
    <n v="1.1148571428571428"/>
    <s v="Above Mid"/>
    <x v="0"/>
    <n v="0.03"/>
    <n v="1170.5999999999999"/>
    <n v="40190.6"/>
    <n v="0.1"/>
    <n v="4019.06"/>
    <n v="1.2"/>
    <n v="4822.8719999999994"/>
    <n v="0.27"/>
    <s v="A"/>
    <n v="12153.637439999999"/>
    <n v="2009.53"/>
    <n v="500"/>
    <n v="14663.167439999999"/>
    <n v="30350.304559999997"/>
  </r>
  <r>
    <n v="1109"/>
    <s v="Employee 109"/>
    <x v="5"/>
    <s v="Operations Specialist"/>
    <d v="2022-01-01T00:00:00"/>
    <s v="Manager 109"/>
    <x v="0"/>
    <s v="Sweden"/>
    <s v="Full time"/>
    <s v="Level 2"/>
    <s v="G5"/>
    <n v="33401"/>
    <s v="Monthly"/>
    <n v="30000"/>
    <n v="35000"/>
    <n v="40000"/>
    <n v="0.95431428571428567"/>
    <s v="Around Mid"/>
    <x v="0"/>
    <n v="0.04"/>
    <n v="1336.04"/>
    <n v="34737.040000000001"/>
    <n v="0.1"/>
    <n v="3473.7040000000002"/>
    <n v="1.2"/>
    <n v="4168.4448000000002"/>
    <n v="0.28999999999999998"/>
    <s v="A"/>
    <n v="11282.590591999999"/>
    <n v="1736.8520000000001"/>
    <n v="500"/>
    <n v="13519.442591999999"/>
    <n v="25386.042207999999"/>
  </r>
  <r>
    <n v="1110"/>
    <s v="Employee 110"/>
    <x v="3"/>
    <s v="Senior Market Specialist"/>
    <d v="2024-01-01T00:00:00"/>
    <s v="Manager 110"/>
    <x v="1"/>
    <s v="Sweden"/>
    <s v="Full time"/>
    <s v="Level 3"/>
    <s v="G7"/>
    <n v="45304"/>
    <s v="Monthly"/>
    <n v="38000"/>
    <n v="50000"/>
    <n v="56000"/>
    <n v="0.90608"/>
    <s v="Below Mid"/>
    <x v="1"/>
    <n v="0.03"/>
    <n v="1359.12"/>
    <n v="46663.12"/>
    <n v="0.15"/>
    <n v="6999.4679999999998"/>
    <n v="1"/>
    <n v="6999.4679999999998"/>
    <n v="0.31"/>
    <s v="C"/>
    <n v="16635.402280000002"/>
    <n v="2333.1560000000004"/>
    <n v="1200"/>
    <n v="20168.558280000001"/>
    <n v="33494.029720000006"/>
  </r>
  <r>
    <n v="1111"/>
    <s v="Employee 111"/>
    <x v="3"/>
    <s v="Senior Market Specialist"/>
    <d v="2024-01-01T00:00:00"/>
    <s v="Manager 111"/>
    <x v="1"/>
    <s v="Sweden"/>
    <s v="Full time"/>
    <s v="Level 3"/>
    <s v="G7"/>
    <n v="45304"/>
    <s v="Monthly"/>
    <n v="38000"/>
    <n v="50000"/>
    <n v="56000"/>
    <n v="0.90608"/>
    <s v="Below Mid"/>
    <x v="1"/>
    <n v="0.03"/>
    <n v="1359.12"/>
    <n v="46663.12"/>
    <n v="0.15"/>
    <n v="6999.4679999999998"/>
    <n v="1"/>
    <n v="6999.4679999999998"/>
    <n v="0.28000000000000003"/>
    <s v="A"/>
    <n v="15025.524640000003"/>
    <n v="2333.1560000000004"/>
    <n v="500"/>
    <n v="17858.680640000002"/>
    <n v="35803.907359999997"/>
  </r>
  <r>
    <n v="1112"/>
    <s v="Employee 112"/>
    <x v="4"/>
    <s v="Sales Manager"/>
    <d v="2020-01-01T00:00:00"/>
    <s v="Manager 112"/>
    <x v="0"/>
    <s v="Sweden"/>
    <s v="Full time"/>
    <s v="Level 4"/>
    <s v="G8"/>
    <n v="73097"/>
    <s v="Monthly"/>
    <n v="55000"/>
    <n v="75000"/>
    <n v="85000"/>
    <n v="0.97462666666666664"/>
    <s v="Around Mid"/>
    <x v="0"/>
    <n v="0.04"/>
    <n v="2923.88"/>
    <n v="76020.88"/>
    <n v="0.2"/>
    <n v="15204.176000000001"/>
    <n v="1.2"/>
    <n v="18245.011200000001"/>
    <n v="0.32"/>
    <s v="A"/>
    <n v="30165.085184000003"/>
    <n v="3801.0440000000003"/>
    <n v="500"/>
    <n v="34466.129184000005"/>
    <n v="59799.762016000008"/>
  </r>
  <r>
    <n v="1113"/>
    <s v="Employee 113"/>
    <x v="2"/>
    <s v="Finance Manager"/>
    <d v="2020-01-01T00:00:00"/>
    <s v="Manager 113"/>
    <x v="1"/>
    <s v="Sweden"/>
    <s v="Full time"/>
    <s v="Level 4"/>
    <s v="G9"/>
    <n v="85007"/>
    <s v="Monthly"/>
    <n v="58000"/>
    <n v="75000"/>
    <n v="87000"/>
    <n v="1.1334266666666666"/>
    <s v="Above Mid"/>
    <x v="1"/>
    <n v="0.02"/>
    <n v="1700.14"/>
    <n v="86707.14"/>
    <n v="0.2"/>
    <n v="17341.428"/>
    <n v="1"/>
    <n v="17341.428"/>
    <n v="0.32"/>
    <s v="C"/>
    <n v="33295.54176"/>
    <n v="4335.357"/>
    <n v="1200"/>
    <n v="38830.898759999996"/>
    <n v="65217.669240000003"/>
  </r>
  <r>
    <n v="1114"/>
    <s v="Employee 114"/>
    <x v="0"/>
    <s v="Senior IT Specialist"/>
    <d v="2024-01-01T00:00:00"/>
    <s v="Manager 114"/>
    <x v="1"/>
    <s v="Sweden"/>
    <s v="Full time"/>
    <s v="Level 3"/>
    <s v="G7"/>
    <n v="47000"/>
    <s v="Monthly"/>
    <n v="38000"/>
    <n v="50000"/>
    <n v="56000"/>
    <n v="0.94"/>
    <s v="Below Mid"/>
    <x v="1"/>
    <n v="0.03"/>
    <n v="1410"/>
    <n v="48410"/>
    <n v="0.15"/>
    <n v="7261.5"/>
    <n v="1"/>
    <n v="7261.5"/>
    <n v="0.3"/>
    <s v="B"/>
    <n v="16701.45"/>
    <n v="2420.5"/>
    <n v="800"/>
    <n v="19921.95"/>
    <n v="35749.550000000003"/>
  </r>
  <r>
    <n v="1115"/>
    <s v="Employee 115"/>
    <x v="4"/>
    <s v="Sales Manager"/>
    <d v="2020-01-01T00:00:00"/>
    <s v="Manager 115"/>
    <x v="0"/>
    <s v="Sweden"/>
    <s v="Full time"/>
    <s v="Level 4"/>
    <s v="G8"/>
    <n v="73097"/>
    <s v="Monthly"/>
    <n v="55000"/>
    <n v="75000"/>
    <n v="85000"/>
    <n v="0.97462666666666664"/>
    <s v="Around Mid"/>
    <x v="0"/>
    <n v="0.04"/>
    <n v="2923.88"/>
    <n v="76020.88"/>
    <n v="0.2"/>
    <n v="15204.176000000001"/>
    <n v="1.2"/>
    <n v="18245.011200000001"/>
    <n v="0.32"/>
    <s v="A"/>
    <n v="30165.085184000003"/>
    <n v="3801.0440000000003"/>
    <n v="500"/>
    <n v="34466.129184000005"/>
    <n v="59799.762016000008"/>
  </r>
  <r>
    <n v="1116"/>
    <s v="Employee 116"/>
    <x v="2"/>
    <s v="Finance Manager"/>
    <d v="2020-01-01T00:00:00"/>
    <s v="Manager 116"/>
    <x v="1"/>
    <s v="Sweden"/>
    <s v="Full time"/>
    <s v="Level 4"/>
    <s v="G9"/>
    <n v="85007"/>
    <s v="Monthly"/>
    <n v="58000"/>
    <n v="75000"/>
    <n v="87000"/>
    <n v="1.1334266666666666"/>
    <s v="Above Mid"/>
    <x v="1"/>
    <n v="0.02"/>
    <n v="1700.14"/>
    <n v="86707.14"/>
    <n v="0.2"/>
    <n v="17341.428"/>
    <n v="1"/>
    <n v="17341.428"/>
    <n v="0.32"/>
    <s v="A"/>
    <n v="33295.54176"/>
    <n v="4335.357"/>
    <n v="500"/>
    <n v="38130.898759999996"/>
    <n v="65917.669240000003"/>
  </r>
  <r>
    <n v="1117"/>
    <s v="Employee 117"/>
    <x v="3"/>
    <s v="Senior Market Specialist"/>
    <d v="2024-01-01T00:00:00"/>
    <s v="Manager 117"/>
    <x v="1"/>
    <s v="Sweden"/>
    <s v="Full time"/>
    <s v="Level 3"/>
    <s v="G7"/>
    <n v="47000"/>
    <s v="Monthly"/>
    <n v="38000"/>
    <n v="50000"/>
    <n v="56000"/>
    <n v="0.94"/>
    <s v="Below Mid"/>
    <x v="1"/>
    <n v="0.03"/>
    <n v="1410"/>
    <n v="48410"/>
    <n v="0.15"/>
    <n v="7261.5"/>
    <n v="1"/>
    <n v="7261.5"/>
    <n v="0.28000000000000003"/>
    <s v="C"/>
    <n v="15588.020000000002"/>
    <n v="2420.5"/>
    <n v="1200"/>
    <n v="19208.520000000004"/>
    <n v="36462.979999999996"/>
  </r>
  <r>
    <n v="1118"/>
    <s v="Employee 118"/>
    <x v="0"/>
    <s v="Senior IT Specialist"/>
    <d v="2024-01-01T00:00:00"/>
    <s v="Manager 118"/>
    <x v="1"/>
    <s v="Sweden"/>
    <s v="Full time"/>
    <s v="Level 3"/>
    <s v="G7"/>
    <n v="47000"/>
    <s v="Monthly"/>
    <n v="38000"/>
    <n v="50000"/>
    <n v="56000"/>
    <n v="0.94"/>
    <s v="Below Mid"/>
    <x v="1"/>
    <n v="0.03"/>
    <n v="1410"/>
    <n v="48410"/>
    <n v="0.15"/>
    <n v="7261.5"/>
    <n v="1"/>
    <n v="7261.5"/>
    <n v="0.27"/>
    <s v="A"/>
    <n v="15031.305"/>
    <n v="2420.5"/>
    <n v="500"/>
    <n v="17951.805"/>
    <n v="37719.695"/>
  </r>
  <r>
    <n v="1119"/>
    <s v="Employee 119"/>
    <x v="1"/>
    <s v="HR Manager"/>
    <d v="2020-01-01T00:00:00"/>
    <s v="Manager 119"/>
    <x v="1"/>
    <s v="Sweden"/>
    <s v="Full time"/>
    <s v="Level 4"/>
    <s v="G8"/>
    <n v="72351"/>
    <s v="Monthly"/>
    <n v="55000"/>
    <n v="75000"/>
    <n v="85000"/>
    <n v="0.96467999999999998"/>
    <s v="Around Mid"/>
    <x v="1"/>
    <n v="2.5000000000000001E-2"/>
    <n v="1808.7750000000001"/>
    <n v="74159.774999999994"/>
    <n v="0.2"/>
    <n v="14831.955"/>
    <n v="1"/>
    <n v="14831.955"/>
    <n v="0.32"/>
    <s v="C"/>
    <n v="28477.353599999999"/>
    <n v="3707.98875"/>
    <n v="1200"/>
    <n v="33385.342349999999"/>
    <n v="55606.387649999997"/>
  </r>
  <r>
    <n v="1120"/>
    <s v="Employee 120"/>
    <x v="3"/>
    <s v="Senior Market Specialist"/>
    <d v="2024-01-01T00:00:00"/>
    <s v="Manager 120"/>
    <x v="1"/>
    <s v="Sweden"/>
    <s v="Full time"/>
    <s v="Level 3"/>
    <s v="G7"/>
    <n v="47000"/>
    <s v="Monthly"/>
    <n v="38000"/>
    <n v="50000"/>
    <n v="56000"/>
    <n v="0.94"/>
    <s v="Below Mid"/>
    <x v="1"/>
    <n v="0.03"/>
    <n v="1410"/>
    <n v="48410"/>
    <n v="0.15"/>
    <n v="7261.5"/>
    <n v="1"/>
    <n v="7261.5"/>
    <n v="0.32"/>
    <s v="A"/>
    <n v="17814.88"/>
    <n v="2420.5"/>
    <n v="500"/>
    <n v="20735.38"/>
    <n v="34936.119999999995"/>
  </r>
  <r>
    <n v="1121"/>
    <s v="Employee 121"/>
    <x v="1"/>
    <s v="HR Manager"/>
    <d v="2020-01-01T00:00:00"/>
    <s v="Manager 121"/>
    <x v="1"/>
    <s v="Sweden"/>
    <s v="Full time"/>
    <s v="Level 4"/>
    <s v="G8"/>
    <n v="72351"/>
    <s v="Monthly"/>
    <n v="55000"/>
    <n v="75000"/>
    <n v="85000"/>
    <n v="0.96467999999999998"/>
    <s v="Around Mid"/>
    <x v="1"/>
    <n v="2.5000000000000001E-2"/>
    <n v="1808.7750000000001"/>
    <n v="74159.774999999994"/>
    <n v="0.2"/>
    <n v="14831.955"/>
    <n v="1"/>
    <n v="14831.955"/>
    <n v="0.32"/>
    <s v="A"/>
    <n v="28477.353599999999"/>
    <n v="3707.98875"/>
    <n v="500"/>
    <n v="32685.342349999999"/>
    <n v="56306.387649999997"/>
  </r>
  <r>
    <n v="1122"/>
    <s v="Employee 122"/>
    <x v="1"/>
    <s v="HR Manager"/>
    <d v="2020-01-01T00:00:00"/>
    <s v="Manager 122"/>
    <x v="1"/>
    <s v="Sweden"/>
    <s v="Full time"/>
    <s v="Level 4"/>
    <s v="G8"/>
    <n v="72351"/>
    <s v="Monthly"/>
    <n v="55000"/>
    <n v="75000"/>
    <n v="85000"/>
    <n v="0.96467999999999998"/>
    <s v="Around Mid"/>
    <x v="1"/>
    <n v="2.5000000000000001E-2"/>
    <n v="1808.7750000000001"/>
    <n v="74159.774999999994"/>
    <n v="0.2"/>
    <n v="14831.955"/>
    <n v="1"/>
    <n v="14831.955"/>
    <n v="0.3"/>
    <s v="A"/>
    <n v="26697.518999999997"/>
    <n v="3707.98875"/>
    <n v="500"/>
    <n v="30905.507749999997"/>
    <n v="58086.222249999999"/>
  </r>
  <r>
    <n v="1123"/>
    <s v="Employee 123"/>
    <x v="5"/>
    <s v="Operations Specialist"/>
    <d v="2022-01-01T00:00:00"/>
    <s v="Manager 123"/>
    <x v="0"/>
    <s v="Sweden"/>
    <s v="Full time"/>
    <s v="Level 2"/>
    <s v="G5"/>
    <n v="33401"/>
    <s v="Monthly"/>
    <n v="30000"/>
    <n v="35000"/>
    <n v="40000"/>
    <n v="0.95431428571428567"/>
    <s v="Around Mid"/>
    <x v="0"/>
    <n v="0.04"/>
    <n v="1336.04"/>
    <n v="34737.040000000001"/>
    <n v="0.1"/>
    <n v="3473.7040000000002"/>
    <n v="1.2"/>
    <n v="4168.4448000000002"/>
    <n v="0.32"/>
    <s v="B"/>
    <n v="12449.755136"/>
    <n v="1736.8520000000001"/>
    <n v="800"/>
    <n v="14986.607136000001"/>
    <n v="23918.877664"/>
  </r>
  <r>
    <n v="1124"/>
    <s v="Employee 124"/>
    <x v="1"/>
    <s v="HRBP"/>
    <d v="2022-01-01T00:00:00"/>
    <s v="Manager 124"/>
    <x v="1"/>
    <s v="Sweden"/>
    <s v="Full time"/>
    <s v="Level 3"/>
    <s v="G7"/>
    <n v="47000"/>
    <s v="Monthly"/>
    <n v="38000"/>
    <n v="50000"/>
    <n v="56000"/>
    <n v="0.94"/>
    <s v="Below Mid"/>
    <x v="1"/>
    <n v="0.03"/>
    <n v="1410"/>
    <n v="48410"/>
    <n v="0.2"/>
    <n v="9682"/>
    <n v="1"/>
    <n v="9682"/>
    <n v="0.27"/>
    <s v="B"/>
    <n v="15684.84"/>
    <n v="2420.5"/>
    <n v="800"/>
    <n v="18905.34"/>
    <n v="39186.660000000003"/>
  </r>
  <r>
    <n v="1125"/>
    <s v="Employee 125"/>
    <x v="0"/>
    <s v="IT Manager"/>
    <d v="2020-01-01T00:00:00"/>
    <s v="Manager 125"/>
    <x v="1"/>
    <s v="Sweden"/>
    <s v="Full time"/>
    <s v="Level 4"/>
    <s v="G9"/>
    <n v="85007"/>
    <s v="Monthly"/>
    <n v="58000"/>
    <n v="75000"/>
    <n v="87000"/>
    <n v="1.1334266666666666"/>
    <s v="Above Mid"/>
    <x v="1"/>
    <n v="0.02"/>
    <n v="1700.14"/>
    <n v="86707.14"/>
    <n v="0.2"/>
    <n v="17341.428"/>
    <n v="1"/>
    <n v="17341.428"/>
    <n v="0.31"/>
    <s v="C"/>
    <n v="32255.056079999998"/>
    <n v="4335.357"/>
    <n v="1200"/>
    <n v="37790.413079999998"/>
    <n v="66258.154920000001"/>
  </r>
  <r>
    <n v="1126"/>
    <s v="Employee 126"/>
    <x v="0"/>
    <s v="IT Manager"/>
    <d v="2020-01-01T00:00:00"/>
    <s v="Manager 126"/>
    <x v="1"/>
    <s v="Sweden"/>
    <s v="Full time"/>
    <s v="Level 4"/>
    <s v="G9"/>
    <n v="85007"/>
    <s v="Monthly"/>
    <n v="58000"/>
    <n v="75000"/>
    <n v="87000"/>
    <n v="1.1334266666666666"/>
    <s v="Above Mid"/>
    <x v="1"/>
    <n v="0.02"/>
    <n v="1700.14"/>
    <n v="86707.14"/>
    <n v="0.2"/>
    <n v="17341.428"/>
    <n v="1"/>
    <n v="17341.428"/>
    <n v="0.32"/>
    <s v="B"/>
    <n v="33295.54176"/>
    <n v="4335.357"/>
    <n v="800"/>
    <n v="38430.898759999996"/>
    <n v="65617.669240000003"/>
  </r>
  <r>
    <n v="1127"/>
    <s v="Employee 127"/>
    <x v="5"/>
    <s v="Operations Specialist"/>
    <d v="2022-01-01T00:00:00"/>
    <s v="Manager 127"/>
    <x v="0"/>
    <s v="Sweden"/>
    <s v="Full time"/>
    <s v="Level 2"/>
    <s v="G5"/>
    <n v="33401"/>
    <s v="Monthly"/>
    <n v="30000"/>
    <n v="35000"/>
    <n v="40000"/>
    <n v="0.95431428571428567"/>
    <s v="Around Mid"/>
    <x v="0"/>
    <n v="0.04"/>
    <n v="1336.04"/>
    <n v="34737.040000000001"/>
    <n v="0.1"/>
    <n v="3473.7040000000002"/>
    <n v="1.2"/>
    <n v="4168.4448000000002"/>
    <n v="0.27"/>
    <s v="C"/>
    <n v="10504.480896000001"/>
    <n v="1736.8520000000001"/>
    <n v="1200"/>
    <n v="13441.332896000002"/>
    <n v="25464.151903999998"/>
  </r>
  <r>
    <n v="1128"/>
    <s v="Employee 128"/>
    <x v="3"/>
    <s v="Senior Market Specialist"/>
    <d v="2024-01-01T00:00:00"/>
    <s v="Manager 128"/>
    <x v="1"/>
    <s v="Sweden"/>
    <s v="Full time"/>
    <s v="Level 3"/>
    <s v="G7"/>
    <n v="47000"/>
    <s v="Monthly"/>
    <n v="38000"/>
    <n v="50000"/>
    <n v="56000"/>
    <n v="0.94"/>
    <s v="Below Mid"/>
    <x v="1"/>
    <n v="0.03"/>
    <n v="1410"/>
    <n v="48410"/>
    <n v="0.15"/>
    <n v="7261.5"/>
    <n v="1"/>
    <n v="7261.5"/>
    <n v="0.28000000000000003"/>
    <s v="A"/>
    <n v="15588.020000000002"/>
    <n v="2420.5"/>
    <n v="500"/>
    <n v="18508.520000000004"/>
    <n v="37162.979999999996"/>
  </r>
  <r>
    <n v="1129"/>
    <s v="Employee 129"/>
    <x v="5"/>
    <s v="Operations Specialist"/>
    <d v="2022-01-01T00:00:00"/>
    <s v="Manager 129"/>
    <x v="0"/>
    <s v="Sweden"/>
    <s v="Full time"/>
    <s v="Level 2"/>
    <s v="G5"/>
    <n v="33401"/>
    <s v="Monthly"/>
    <n v="30000"/>
    <n v="35000"/>
    <n v="40000"/>
    <n v="0.95431428571428567"/>
    <s v="Around Mid"/>
    <x v="0"/>
    <n v="0.04"/>
    <n v="1336.04"/>
    <n v="34737.040000000001"/>
    <n v="0.1"/>
    <n v="3473.7040000000002"/>
    <n v="1.2"/>
    <n v="4168.4448000000002"/>
    <n v="0.28999999999999998"/>
    <s v="B"/>
    <n v="11282.590591999999"/>
    <n v="1736.8520000000001"/>
    <n v="800"/>
    <n v="13819.442591999999"/>
    <n v="25086.042207999999"/>
  </r>
  <r>
    <n v="1130"/>
    <s v="Employee 130"/>
    <x v="2"/>
    <s v="Finance Manager"/>
    <d v="2020-01-01T00:00:00"/>
    <s v="Manager 130"/>
    <x v="1"/>
    <s v="Sweden"/>
    <s v="Full time"/>
    <s v="Level 4"/>
    <s v="G9"/>
    <n v="85007"/>
    <s v="Monthly"/>
    <n v="58000"/>
    <n v="75000"/>
    <n v="87000"/>
    <n v="1.1334266666666666"/>
    <s v="Above Mid"/>
    <x v="1"/>
    <n v="0.02"/>
    <n v="1700.14"/>
    <n v="86707.14"/>
    <n v="0.2"/>
    <n v="17341.428"/>
    <n v="1"/>
    <n v="17341.428"/>
    <n v="0.31"/>
    <s v="C"/>
    <n v="32255.056079999998"/>
    <n v="4335.357"/>
    <n v="1200"/>
    <n v="37790.413079999998"/>
    <n v="66258.154920000001"/>
  </r>
  <r>
    <n v="1131"/>
    <s v="Employee 131"/>
    <x v="1"/>
    <s v="HRBP"/>
    <d v="2022-01-01T00:00:00"/>
    <s v="Manager 131"/>
    <x v="1"/>
    <s v="Sweden"/>
    <s v="Full time"/>
    <s v="Level 3"/>
    <s v="G7"/>
    <n v="47000"/>
    <s v="Monthly"/>
    <n v="38000"/>
    <n v="50000"/>
    <n v="56000"/>
    <n v="0.94"/>
    <s v="Below Mid"/>
    <x v="1"/>
    <n v="0.03"/>
    <n v="1410"/>
    <n v="48410"/>
    <n v="0.2"/>
    <n v="9682"/>
    <n v="1"/>
    <n v="9682"/>
    <n v="0.28000000000000003"/>
    <s v="A"/>
    <n v="16265.760000000002"/>
    <n v="2420.5"/>
    <n v="500"/>
    <n v="19186.260000000002"/>
    <n v="38905.74"/>
  </r>
  <r>
    <n v="1132"/>
    <s v="Employee 132"/>
    <x v="0"/>
    <s v="IT Manager"/>
    <d v="2020-01-01T00:00:00"/>
    <s v="Manager 132"/>
    <x v="1"/>
    <s v="Sweden"/>
    <s v="Full time"/>
    <s v="Level 4"/>
    <s v="G9"/>
    <n v="85007"/>
    <s v="Monthly"/>
    <n v="58000"/>
    <n v="75000"/>
    <n v="87000"/>
    <n v="1.1334266666666666"/>
    <s v="Above Mid"/>
    <x v="1"/>
    <n v="0.02"/>
    <n v="1700.14"/>
    <n v="86707.14"/>
    <n v="0.2"/>
    <n v="17341.428"/>
    <n v="1"/>
    <n v="17341.428"/>
    <n v="0.32"/>
    <s v="B"/>
    <n v="33295.54176"/>
    <n v="4335.357"/>
    <n v="800"/>
    <n v="38430.898759999996"/>
    <n v="65617.669240000003"/>
  </r>
  <r>
    <n v="1133"/>
    <s v="Employee 133"/>
    <x v="2"/>
    <s v="Finance Manager"/>
    <d v="2020-01-01T00:00:00"/>
    <s v="Manager 133"/>
    <x v="1"/>
    <s v="Sweden"/>
    <s v="Full time"/>
    <s v="Level 4"/>
    <s v="G9"/>
    <n v="85007"/>
    <s v="Monthly"/>
    <n v="58000"/>
    <n v="75000"/>
    <n v="87000"/>
    <n v="1.1334266666666666"/>
    <s v="Above Mid"/>
    <x v="1"/>
    <n v="0.02"/>
    <n v="1700.14"/>
    <n v="86707.14"/>
    <n v="0.2"/>
    <n v="17341.428"/>
    <n v="1"/>
    <n v="17341.428"/>
    <n v="0.32"/>
    <s v="B"/>
    <n v="33295.54176"/>
    <n v="4335.357"/>
    <n v="800"/>
    <n v="38430.898759999996"/>
    <n v="65617.669240000003"/>
  </r>
  <r>
    <n v="1134"/>
    <s v="Employee 134"/>
    <x v="0"/>
    <s v="IT Manager"/>
    <d v="2020-01-01T00:00:00"/>
    <s v="Manager 134"/>
    <x v="1"/>
    <s v="Sweden"/>
    <s v="Full time"/>
    <s v="Level 4"/>
    <s v="G9"/>
    <n v="85007"/>
    <s v="Monthly"/>
    <n v="58000"/>
    <n v="75000"/>
    <n v="87000"/>
    <n v="1.1334266666666666"/>
    <s v="Above Mid"/>
    <x v="1"/>
    <n v="0.02"/>
    <n v="1700.14"/>
    <n v="86707.14"/>
    <n v="0.2"/>
    <n v="17341.428"/>
    <n v="1"/>
    <n v="17341.428"/>
    <n v="0.32"/>
    <s v="B"/>
    <n v="33295.54176"/>
    <n v="4335.357"/>
    <n v="800"/>
    <n v="38430.898759999996"/>
    <n v="65617.669240000003"/>
  </r>
  <r>
    <n v="1135"/>
    <s v="Employee 135"/>
    <x v="3"/>
    <s v="Marketing Manager"/>
    <d v="2020-01-01T00:00:00"/>
    <s v="Manager 135"/>
    <x v="1"/>
    <s v="Sweden"/>
    <s v="Full time"/>
    <s v="Level 4"/>
    <s v="G9"/>
    <n v="89860"/>
    <s v="Monthly"/>
    <n v="58000"/>
    <n v="75000"/>
    <n v="87000"/>
    <n v="1.1981333333333333"/>
    <s v="High"/>
    <x v="1"/>
    <n v="0.01"/>
    <n v="898.6"/>
    <n v="90758.6"/>
    <n v="0.2"/>
    <n v="18151.72"/>
    <n v="1"/>
    <n v="18151.72"/>
    <n v="0.32"/>
    <s v="C"/>
    <n v="34851.3024"/>
    <n v="4537.93"/>
    <n v="1200"/>
    <n v="40589.232400000001"/>
    <n v="68321.087599999999"/>
  </r>
  <r>
    <n v="1136"/>
    <s v="Employee 136"/>
    <x v="0"/>
    <s v="IT Manager"/>
    <d v="2020-01-01T00:00:00"/>
    <s v="Manager 136"/>
    <x v="1"/>
    <s v="Sweden"/>
    <s v="Full time"/>
    <s v="Level 4"/>
    <s v="G9"/>
    <n v="89860"/>
    <s v="Monthly"/>
    <n v="58000"/>
    <n v="75000"/>
    <n v="87000"/>
    <n v="1.1981333333333333"/>
    <s v="High"/>
    <x v="1"/>
    <n v="0.01"/>
    <n v="898.6"/>
    <n v="90758.6"/>
    <n v="0.2"/>
    <n v="18151.72"/>
    <n v="1"/>
    <n v="18151.72"/>
    <n v="0.32"/>
    <s v="B"/>
    <n v="34851.3024"/>
    <n v="4537.93"/>
    <n v="800"/>
    <n v="40189.232400000001"/>
    <n v="68721.087599999999"/>
  </r>
  <r>
    <n v="1137"/>
    <s v="Employee 137"/>
    <x v="5"/>
    <s v="Operations Specialist"/>
    <d v="2022-01-01T00:00:00"/>
    <s v="Manager 137"/>
    <x v="0"/>
    <s v="Sweden"/>
    <s v="Full time"/>
    <s v="Level 2"/>
    <s v="G5"/>
    <n v="33401"/>
    <s v="Monthly"/>
    <n v="30000"/>
    <n v="35000"/>
    <n v="40000"/>
    <n v="0.95431428571428567"/>
    <s v="Around Mid"/>
    <x v="0"/>
    <n v="0.04"/>
    <n v="1336.04"/>
    <n v="34737.040000000001"/>
    <n v="0.1"/>
    <n v="3473.7040000000002"/>
    <n v="1.2"/>
    <n v="4168.4448000000002"/>
    <n v="0.31"/>
    <s v="A"/>
    <n v="12060.700288"/>
    <n v="1736.8520000000001"/>
    <n v="500"/>
    <n v="14297.552288000001"/>
    <n v="24607.932511999999"/>
  </r>
  <r>
    <n v="1138"/>
    <s v="Employee 138"/>
    <x v="4"/>
    <s v="Sales Manager"/>
    <d v="2020-01-01T00:00:00"/>
    <s v="Manager 138"/>
    <x v="0"/>
    <s v="Sweden"/>
    <s v="Full time"/>
    <s v="Level 4"/>
    <s v="G8"/>
    <n v="72351"/>
    <s v="Monthly"/>
    <n v="55000"/>
    <n v="75000"/>
    <n v="85000"/>
    <n v="0.96467999999999998"/>
    <s v="Around Mid"/>
    <x v="0"/>
    <n v="0.04"/>
    <n v="2894.04"/>
    <n v="75245.039999999994"/>
    <n v="0.2"/>
    <n v="15049.008"/>
    <n v="1.2"/>
    <n v="18058.809600000001"/>
    <n v="0.32"/>
    <s v="A"/>
    <n v="29857.231871999997"/>
    <n v="3762.252"/>
    <n v="500"/>
    <n v="34119.483871999997"/>
    <n v="59184.36572799999"/>
  </r>
  <r>
    <n v="1139"/>
    <s v="Employee 139"/>
    <x v="2"/>
    <s v="Finance Manager"/>
    <d v="2020-01-01T00:00:00"/>
    <s v="Manager 139"/>
    <x v="0"/>
    <s v="Sweden"/>
    <s v="Full time"/>
    <s v="Level 4"/>
    <s v="G9"/>
    <n v="89860"/>
    <s v="Monthly"/>
    <n v="58000"/>
    <n v="75000"/>
    <n v="87000"/>
    <n v="1.1981333333333333"/>
    <s v="High"/>
    <x v="0"/>
    <n v="1.4999999999999999E-2"/>
    <n v="1347.8999999999999"/>
    <n v="91207.9"/>
    <n v="0.2"/>
    <n v="18241.579999999998"/>
    <n v="1.2"/>
    <n v="21889.895999999997"/>
    <n v="0.32"/>
    <s v="A"/>
    <n v="36191.294719999998"/>
    <n v="4560.3949999999995"/>
    <n v="500"/>
    <n v="41251.689719999995"/>
    <n v="71846.106279999993"/>
  </r>
  <r>
    <n v="1140"/>
    <s v="Employee 140"/>
    <x v="4"/>
    <s v="Sales Manager"/>
    <d v="2020-01-01T00:00:00"/>
    <s v="Manager 140"/>
    <x v="0"/>
    <s v="Sweden"/>
    <s v="Full time"/>
    <s v="Level 4"/>
    <s v="G8"/>
    <n v="72351"/>
    <s v="Monthly"/>
    <n v="55000"/>
    <n v="75000"/>
    <n v="85000"/>
    <n v="0.96467999999999998"/>
    <s v="Around Mid"/>
    <x v="0"/>
    <n v="0.04"/>
    <n v="2894.04"/>
    <n v="75245.039999999994"/>
    <n v="0.2"/>
    <n v="15049.008"/>
    <n v="1.2"/>
    <n v="18058.809600000001"/>
    <n v="0.32"/>
    <s v="B"/>
    <n v="29857.231871999997"/>
    <n v="3762.252"/>
    <n v="800"/>
    <n v="34419.483871999997"/>
    <n v="58884.36572799999"/>
  </r>
  <r>
    <n v="1141"/>
    <s v="Employee 141"/>
    <x v="4"/>
    <s v="Sales Manager"/>
    <d v="2020-01-01T00:00:00"/>
    <s v="Manager 141"/>
    <x v="0"/>
    <s v="Sweden"/>
    <s v="Full time"/>
    <s v="Level 4"/>
    <s v="G8"/>
    <n v="72351"/>
    <s v="Monthly"/>
    <n v="55000"/>
    <n v="75000"/>
    <n v="85000"/>
    <n v="0.96467999999999998"/>
    <s v="Around Mid"/>
    <x v="0"/>
    <n v="0.04"/>
    <n v="2894.04"/>
    <n v="75245.039999999994"/>
    <n v="0.2"/>
    <n v="15049.008"/>
    <n v="1.2"/>
    <n v="18058.809600000001"/>
    <n v="0.31"/>
    <s v="C"/>
    <n v="28924.193375999996"/>
    <n v="3762.252"/>
    <n v="1200"/>
    <n v="33886.445375999996"/>
    <n v="59417.404223999991"/>
  </r>
  <r>
    <n v="1142"/>
    <s v="Employee 142"/>
    <x v="4"/>
    <s v="Sales Manager"/>
    <d v="2020-01-01T00:00:00"/>
    <s v="Manager 142"/>
    <x v="0"/>
    <s v="Sweden"/>
    <s v="Full time"/>
    <s v="Level 4"/>
    <s v="G8"/>
    <n v="72351"/>
    <s v="Monthly"/>
    <n v="55000"/>
    <n v="75000"/>
    <n v="85000"/>
    <n v="0.96467999999999998"/>
    <s v="Around Mid"/>
    <x v="0"/>
    <n v="0.04"/>
    <n v="2894.04"/>
    <n v="75245.039999999994"/>
    <n v="0.2"/>
    <n v="15049.008"/>
    <n v="1.2"/>
    <n v="18058.809600000001"/>
    <n v="0.32"/>
    <s v="C"/>
    <n v="29857.231871999997"/>
    <n v="3762.252"/>
    <n v="1200"/>
    <n v="34819.483871999997"/>
    <n v="58484.36572799999"/>
  </r>
  <r>
    <n v="1143"/>
    <s v="Employee 143"/>
    <x v="1"/>
    <s v="HRBP"/>
    <d v="2022-01-01T00:00:00"/>
    <s v="Manager 143"/>
    <x v="0"/>
    <s v="Sweden"/>
    <s v="Full time"/>
    <s v="Level 3"/>
    <s v="G7"/>
    <n v="47000"/>
    <s v="Monthly"/>
    <n v="38000"/>
    <n v="50000"/>
    <n v="56000"/>
    <n v="0.94"/>
    <s v="Below Mid"/>
    <x v="0"/>
    <n v="0.05"/>
    <n v="2350"/>
    <n v="49350"/>
    <n v="0.2"/>
    <n v="9870"/>
    <n v="1.2"/>
    <n v="11844"/>
    <n v="0.3"/>
    <s v="C"/>
    <n v="18358.2"/>
    <n v="2467.5"/>
    <n v="1200"/>
    <n v="22025.7"/>
    <n v="39168.300000000003"/>
  </r>
  <r>
    <n v="1144"/>
    <s v="Employee 144"/>
    <x v="4"/>
    <s v="Sales Manager"/>
    <d v="2020-01-01T00:00:00"/>
    <s v="Manager 144"/>
    <x v="0"/>
    <s v="Sweden"/>
    <s v="Full time"/>
    <s v="Level 4"/>
    <s v="G8"/>
    <n v="72351"/>
    <s v="Monthly"/>
    <n v="55000"/>
    <n v="75000"/>
    <n v="85000"/>
    <n v="0.96467999999999998"/>
    <s v="Around Mid"/>
    <x v="0"/>
    <n v="0.04"/>
    <n v="2894.04"/>
    <n v="75245.039999999994"/>
    <n v="0.2"/>
    <n v="15049.008"/>
    <n v="1.2"/>
    <n v="18058.809600000001"/>
    <n v="0.3"/>
    <s v="A"/>
    <n v="27991.154879999995"/>
    <n v="3762.252"/>
    <n v="500"/>
    <n v="32253.406879999995"/>
    <n v="61050.442719999992"/>
  </r>
  <r>
    <n v="1145"/>
    <s v="Employee 145"/>
    <x v="5"/>
    <s v="Operations Specialist"/>
    <d v="2022-01-01T00:00:00"/>
    <s v="Manager 145"/>
    <x v="0"/>
    <s v="Sweden"/>
    <s v="Full time"/>
    <s v="Level 2"/>
    <s v="G5"/>
    <n v="33401"/>
    <s v="Monthly"/>
    <n v="30000"/>
    <n v="35000"/>
    <n v="40000"/>
    <n v="0.95431428571428567"/>
    <s v="Around Mid"/>
    <x v="0"/>
    <n v="0.04"/>
    <n v="1336.04"/>
    <n v="34737.040000000001"/>
    <n v="0.1"/>
    <n v="3473.7040000000002"/>
    <n v="1.2"/>
    <n v="4168.4448000000002"/>
    <n v="0.28999999999999998"/>
    <s v="B"/>
    <n v="11282.590591999999"/>
    <n v="1736.8520000000001"/>
    <n v="800"/>
    <n v="13819.442591999999"/>
    <n v="25086.042207999999"/>
  </r>
  <r>
    <n v="1146"/>
    <s v="Employee 146"/>
    <x v="0"/>
    <s v="IT Manager"/>
    <d v="2020-01-01T00:00:00"/>
    <s v="Manager 146"/>
    <x v="0"/>
    <s v="Sweden"/>
    <s v="Full time"/>
    <s v="Level 4"/>
    <s v="G9"/>
    <n v="89860"/>
    <s v="Monthly"/>
    <n v="58000"/>
    <n v="75000"/>
    <n v="87000"/>
    <n v="1.1981333333333333"/>
    <s v="High"/>
    <x v="0"/>
    <n v="1.4999999999999999E-2"/>
    <n v="1347.8999999999999"/>
    <n v="91207.9"/>
    <n v="0.2"/>
    <n v="18241.579999999998"/>
    <n v="1.2"/>
    <n v="21889.895999999997"/>
    <n v="0.32"/>
    <s v="A"/>
    <n v="36191.294719999998"/>
    <n v="4560.3949999999995"/>
    <n v="500"/>
    <n v="41251.689719999995"/>
    <n v="71846.106279999993"/>
  </r>
  <r>
    <n v="1147"/>
    <s v="Employee 147"/>
    <x v="3"/>
    <s v="Marketing Manager"/>
    <d v="2020-01-01T00:00:00"/>
    <s v="Manager 147"/>
    <x v="0"/>
    <s v="Sweden"/>
    <s v="Full time"/>
    <s v="Level 4"/>
    <s v="G9"/>
    <n v="89860"/>
    <s v="Monthly"/>
    <n v="58000"/>
    <n v="75000"/>
    <n v="87000"/>
    <n v="1.1981333333333333"/>
    <s v="High"/>
    <x v="0"/>
    <n v="1.4999999999999999E-2"/>
    <n v="1347.8999999999999"/>
    <n v="91207.9"/>
    <n v="0.2"/>
    <n v="18241.579999999998"/>
    <n v="1.2"/>
    <n v="21889.895999999997"/>
    <n v="0.32"/>
    <s v="C"/>
    <n v="36191.294719999998"/>
    <n v="4560.3949999999995"/>
    <n v="1200"/>
    <n v="41951.689719999995"/>
    <n v="71146.106279999993"/>
  </r>
  <r>
    <n v="1148"/>
    <s v="Employee 148"/>
    <x v="0"/>
    <s v="IT Manager"/>
    <d v="2020-01-01T00:00:00"/>
    <s v="Manager 148"/>
    <x v="0"/>
    <s v="Sweden"/>
    <s v="Full time"/>
    <s v="Level 4"/>
    <s v="G9"/>
    <n v="89860"/>
    <s v="Monthly"/>
    <n v="58000"/>
    <n v="75000"/>
    <n v="87000"/>
    <n v="1.1981333333333333"/>
    <s v="High"/>
    <x v="0"/>
    <n v="1.4999999999999999E-2"/>
    <n v="1347.8999999999999"/>
    <n v="91207.9"/>
    <n v="0.2"/>
    <n v="18241.579999999998"/>
    <n v="1.2"/>
    <n v="21889.895999999997"/>
    <n v="0.3"/>
    <s v="A"/>
    <n v="33929.338799999998"/>
    <n v="4560.3949999999995"/>
    <n v="500"/>
    <n v="38989.733799999995"/>
    <n v="74108.062199999986"/>
  </r>
  <r>
    <n v="1149"/>
    <s v="Employee 149"/>
    <x v="4"/>
    <s v="Sales Manager"/>
    <d v="2020-01-01T00:00:00"/>
    <s v="Manager 149"/>
    <x v="0"/>
    <s v="Sweden"/>
    <s v="Full time"/>
    <s v="Level 4"/>
    <s v="G8"/>
    <n v="71263"/>
    <s v="Monthly"/>
    <n v="55000"/>
    <n v="75000"/>
    <n v="85000"/>
    <n v="0.95017333333333331"/>
    <s v="Around Mid"/>
    <x v="0"/>
    <n v="0.04"/>
    <n v="2850.52"/>
    <n v="74113.52"/>
    <n v="0.2"/>
    <n v="14822.704000000002"/>
    <n v="1.2"/>
    <n v="17787.2448"/>
    <n v="0.32"/>
    <s v="A"/>
    <n v="29408.244736000001"/>
    <n v="3705.6760000000004"/>
    <n v="500"/>
    <n v="33613.920736"/>
    <n v="58286.844064000004"/>
  </r>
  <r>
    <n v="1150"/>
    <s v="Employee 150"/>
    <x v="3"/>
    <s v="Marketing Manager"/>
    <d v="2020-01-01T00:00:00"/>
    <s v="Manager 150"/>
    <x v="0"/>
    <s v="Sweden"/>
    <s v="Full time"/>
    <s v="Level 4"/>
    <s v="G9"/>
    <n v="89860"/>
    <s v="Monthly"/>
    <n v="58000"/>
    <n v="75000"/>
    <n v="87000"/>
    <n v="1.1981333333333333"/>
    <s v="High"/>
    <x v="0"/>
    <n v="1.4999999999999999E-2"/>
    <n v="1347.8999999999999"/>
    <n v="91207.9"/>
    <n v="0.2"/>
    <n v="18241.579999999998"/>
    <n v="1.2"/>
    <n v="21889.895999999997"/>
    <n v="0.32"/>
    <s v="B"/>
    <n v="36191.294719999998"/>
    <n v="4560.3949999999995"/>
    <n v="800"/>
    <n v="41551.689719999995"/>
    <n v="71546.106279999993"/>
  </r>
  <r>
    <n v="1151"/>
    <s v="Employee 151"/>
    <x v="3"/>
    <s v="Marketing Manager"/>
    <d v="2020-01-01T00:00:00"/>
    <s v="Manager 151"/>
    <x v="0"/>
    <s v="Sweden"/>
    <s v="Full time"/>
    <s v="Level 4"/>
    <s v="G9"/>
    <n v="89860"/>
    <s v="Monthly"/>
    <n v="58000"/>
    <n v="75000"/>
    <n v="87000"/>
    <n v="1.1981333333333333"/>
    <s v="High"/>
    <x v="0"/>
    <n v="1.4999999999999999E-2"/>
    <n v="1347.8999999999999"/>
    <n v="91207.9"/>
    <n v="0.2"/>
    <n v="18241.579999999998"/>
    <n v="1.2"/>
    <n v="21889.895999999997"/>
    <n v="0.32"/>
    <s v="A"/>
    <n v="36191.294719999998"/>
    <n v="4560.3949999999995"/>
    <n v="500"/>
    <n v="41251.689719999995"/>
    <n v="71846.106279999993"/>
  </r>
  <r>
    <n v="1152"/>
    <s v="Employee 152"/>
    <x v="3"/>
    <s v="Marketing Manager"/>
    <d v="2020-01-01T00:00:00"/>
    <s v="Manager 152"/>
    <x v="0"/>
    <s v="Sweden"/>
    <s v="Full time"/>
    <s v="Level 4"/>
    <s v="G9"/>
    <n v="86756"/>
    <s v="Monthly"/>
    <n v="58000"/>
    <n v="75000"/>
    <n v="87000"/>
    <n v="1.1567466666666666"/>
    <s v="High"/>
    <x v="0"/>
    <n v="1.4999999999999999E-2"/>
    <n v="1301.3399999999999"/>
    <n v="88057.34"/>
    <n v="0.2"/>
    <n v="17611.468000000001"/>
    <n v="1.2"/>
    <n v="21133.761600000002"/>
    <n v="0.31"/>
    <s v="C"/>
    <n v="33849.241495999995"/>
    <n v="4402.8670000000002"/>
    <n v="1200"/>
    <n v="39452.108495999993"/>
    <n v="69738.993103999994"/>
  </r>
  <r>
    <n v="1153"/>
    <s v="Employee 153"/>
    <x v="2"/>
    <s v="Finance Manager"/>
    <d v="2020-01-01T00:00:00"/>
    <s v="Manager 153"/>
    <x v="0"/>
    <s v="Sweden"/>
    <s v="Full time"/>
    <s v="Level 4"/>
    <s v="G9"/>
    <n v="86756"/>
    <s v="Monthly"/>
    <n v="58000"/>
    <n v="75000"/>
    <n v="87000"/>
    <n v="1.1567466666666666"/>
    <s v="High"/>
    <x v="0"/>
    <n v="1.4999999999999999E-2"/>
    <n v="1301.3399999999999"/>
    <n v="88057.34"/>
    <n v="0.2"/>
    <n v="17611.468000000001"/>
    <n v="1.2"/>
    <n v="21133.761600000002"/>
    <n v="0.32"/>
    <s v="A"/>
    <n v="34941.152512000001"/>
    <n v="4402.8670000000002"/>
    <n v="500"/>
    <n v="39844.019511999999"/>
    <n v="69347.082087999996"/>
  </r>
  <r>
    <n v="1154"/>
    <s v="Employee 154"/>
    <x v="5"/>
    <s v="Operations Specialist"/>
    <d v="2022-01-01T00:00:00"/>
    <s v="Manager 154"/>
    <x v="0"/>
    <s v="Sweden"/>
    <s v="Full time"/>
    <s v="Level 2"/>
    <s v="G5"/>
    <n v="30348"/>
    <s v="Monthly"/>
    <n v="30000"/>
    <n v="35000"/>
    <n v="40000"/>
    <n v="0.86708571428571424"/>
    <s v="Below Mid"/>
    <x v="0"/>
    <n v="0.05"/>
    <n v="1517.4"/>
    <n v="31865.4"/>
    <n v="0.1"/>
    <n v="3186.5400000000004"/>
    <n v="1.2"/>
    <n v="3823.8480000000004"/>
    <n v="0.28000000000000003"/>
    <s v="A"/>
    <n v="9992.9894400000012"/>
    <n v="1593.2700000000002"/>
    <n v="500"/>
    <n v="12086.259440000002"/>
    <n v="23602.988559999998"/>
  </r>
  <r>
    <n v="1155"/>
    <s v="Employee 155"/>
    <x v="2"/>
    <s v="Finance Manager"/>
    <d v="2020-01-01T00:00:00"/>
    <s v="Manager 155"/>
    <x v="0"/>
    <s v="Sweden"/>
    <s v="Full time"/>
    <s v="Level 4"/>
    <s v="G9"/>
    <n v="86756"/>
    <s v="Monthly"/>
    <n v="58000"/>
    <n v="75000"/>
    <n v="87000"/>
    <n v="1.1567466666666666"/>
    <s v="High"/>
    <x v="0"/>
    <n v="1.4999999999999999E-2"/>
    <n v="1301.3399999999999"/>
    <n v="88057.34"/>
    <n v="0.2"/>
    <n v="17611.468000000001"/>
    <n v="1.2"/>
    <n v="21133.761600000002"/>
    <n v="0.32"/>
    <s v="A"/>
    <n v="34941.152512000001"/>
    <n v="4402.8670000000002"/>
    <n v="500"/>
    <n v="39844.019511999999"/>
    <n v="69347.082087999996"/>
  </r>
  <r>
    <n v="1156"/>
    <s v="Employee 156"/>
    <x v="0"/>
    <s v="IT Manager"/>
    <d v="2020-01-01T00:00:00"/>
    <s v="Manager 156"/>
    <x v="0"/>
    <s v="Sweden"/>
    <s v="Full time"/>
    <s v="Level 4"/>
    <s v="G9"/>
    <n v="86756"/>
    <s v="Monthly"/>
    <n v="58000"/>
    <n v="75000"/>
    <n v="87000"/>
    <n v="1.1567466666666666"/>
    <s v="High"/>
    <x v="0"/>
    <n v="1.4999999999999999E-2"/>
    <n v="1301.3399999999999"/>
    <n v="88057.34"/>
    <n v="0.2"/>
    <n v="17611.468000000001"/>
    <n v="1.2"/>
    <n v="21133.761600000002"/>
    <n v="0.31"/>
    <s v="B"/>
    <n v="33849.241495999995"/>
    <n v="4402.8670000000002"/>
    <n v="800"/>
    <n v="39052.108495999993"/>
    <n v="70138.993103999994"/>
  </r>
  <r>
    <n v="1157"/>
    <s v="Employee 157"/>
    <x v="3"/>
    <s v="Marketing Manager"/>
    <d v="2020-01-01T00:00:00"/>
    <s v="Manager 157"/>
    <x v="0"/>
    <s v="Sweden"/>
    <s v="Full time"/>
    <s v="Level 4"/>
    <s v="G9"/>
    <n v="86756"/>
    <s v="Monthly"/>
    <n v="58000"/>
    <n v="75000"/>
    <n v="87000"/>
    <n v="1.1567466666666666"/>
    <s v="High"/>
    <x v="0"/>
    <n v="1.4999999999999999E-2"/>
    <n v="1301.3399999999999"/>
    <n v="88057.34"/>
    <n v="0.2"/>
    <n v="17611.468000000001"/>
    <n v="1.2"/>
    <n v="21133.761600000002"/>
    <n v="0.32"/>
    <s v="A"/>
    <n v="34941.152512000001"/>
    <n v="4402.8670000000002"/>
    <n v="500"/>
    <n v="39844.019511999999"/>
    <n v="69347.082087999996"/>
  </r>
  <r>
    <n v="1158"/>
    <s v="Employee 158"/>
    <x v="5"/>
    <s v="Operations Specialist"/>
    <d v="2022-01-01T00:00:00"/>
    <s v="Manager 158"/>
    <x v="0"/>
    <s v="Sweden"/>
    <s v="Full time"/>
    <s v="Level 2"/>
    <s v="G5"/>
    <n v="30348"/>
    <s v="Monthly"/>
    <n v="30000"/>
    <n v="35000"/>
    <n v="40000"/>
    <n v="0.86708571428571424"/>
    <s v="Below Mid"/>
    <x v="0"/>
    <n v="0.05"/>
    <n v="1517.4"/>
    <n v="31865.4"/>
    <n v="0.1"/>
    <n v="3186.5400000000004"/>
    <n v="1.2"/>
    <n v="3823.8480000000004"/>
    <n v="0.31"/>
    <s v="C"/>
    <n v="11063.666880000001"/>
    <n v="1593.2700000000002"/>
    <n v="1200"/>
    <n v="13856.936880000001"/>
    <n v="21832.311119999998"/>
  </r>
  <r>
    <n v="1159"/>
    <s v="Employee 159"/>
    <x v="2"/>
    <s v="Financial Analyst"/>
    <d v="2022-01-01T00:00:00"/>
    <s v="Manager 159"/>
    <x v="0"/>
    <s v="Sweden"/>
    <s v="Full time"/>
    <s v="Level 2"/>
    <s v="G6"/>
    <n v="43261"/>
    <s v="Monthly"/>
    <n v="35000"/>
    <n v="40000"/>
    <n v="45000"/>
    <n v="1.0815250000000001"/>
    <s v="Above Mid"/>
    <x v="0"/>
    <n v="0.03"/>
    <n v="1297.83"/>
    <n v="44558.83"/>
    <n v="0.1"/>
    <n v="4455.8830000000007"/>
    <n v="1.2"/>
    <n v="5347.0596000000005"/>
    <n v="0.28999999999999998"/>
    <s v="C"/>
    <n v="14472.707983999999"/>
    <n v="2227.9415000000004"/>
    <n v="1200"/>
    <n v="17900.649483999998"/>
    <n v="32005.240116000004"/>
  </r>
  <r>
    <n v="1160"/>
    <s v="Employee 160"/>
    <x v="5"/>
    <s v="Operations Specialist"/>
    <d v="2022-01-01T00:00:00"/>
    <s v="Manager 160"/>
    <x v="0"/>
    <s v="Sweden"/>
    <s v="Full time"/>
    <s v="Level 2"/>
    <s v="G5"/>
    <n v="30348"/>
    <s v="Monthly"/>
    <n v="30000"/>
    <n v="35000"/>
    <n v="40000"/>
    <n v="0.86708571428571424"/>
    <s v="Below Mid"/>
    <x v="0"/>
    <n v="0.05"/>
    <n v="1517.4"/>
    <n v="31865.4"/>
    <n v="0.1"/>
    <n v="3186.5400000000004"/>
    <n v="1.2"/>
    <n v="3823.8480000000004"/>
    <n v="0.31"/>
    <s v="B"/>
    <n v="11063.666880000001"/>
    <n v="1593.2700000000002"/>
    <n v="800"/>
    <n v="13456.936880000001"/>
    <n v="22232.311119999998"/>
  </r>
  <r>
    <n v="1161"/>
    <s v="Employee 161"/>
    <x v="4"/>
    <s v="Senior Sales Specialist"/>
    <d v="2024-01-01T00:00:00"/>
    <s v="Manager 161"/>
    <x v="0"/>
    <s v="Sweden"/>
    <s v="Full time"/>
    <s v="Level 3"/>
    <s v="G7"/>
    <n v="47000"/>
    <s v="Monthly"/>
    <n v="38000"/>
    <n v="50000"/>
    <n v="56000"/>
    <n v="0.94"/>
    <s v="Below Mid"/>
    <x v="0"/>
    <n v="0.05"/>
    <n v="2350"/>
    <n v="49350"/>
    <n v="0.15"/>
    <n v="7402.5"/>
    <n v="1.2"/>
    <n v="8883"/>
    <n v="0.31"/>
    <s v="A"/>
    <n v="18052.23"/>
    <n v="2467.5"/>
    <n v="500"/>
    <n v="21019.73"/>
    <n v="37213.270000000004"/>
  </r>
  <r>
    <n v="1162"/>
    <s v="Employee 162"/>
    <x v="5"/>
    <s v="Operations Specialist"/>
    <d v="2022-01-01T00:00:00"/>
    <s v="Manager 162"/>
    <x v="0"/>
    <s v="Sweden"/>
    <s v="Full time"/>
    <s v="Level 2"/>
    <s v="G5"/>
    <n v="30348"/>
    <s v="Monthly"/>
    <n v="30000"/>
    <n v="35000"/>
    <n v="40000"/>
    <n v="0.86708571428571424"/>
    <s v="Below Mid"/>
    <x v="0"/>
    <n v="0.05"/>
    <n v="1517.4"/>
    <n v="31865.4"/>
    <n v="0.1"/>
    <n v="3186.5400000000004"/>
    <n v="1.2"/>
    <n v="3823.8480000000004"/>
    <n v="0.28999999999999998"/>
    <s v="C"/>
    <n v="10349.88192"/>
    <n v="1593.2700000000002"/>
    <n v="1200"/>
    <n v="13143.15192"/>
    <n v="22546.096079999999"/>
  </r>
  <r>
    <n v="1163"/>
    <s v="Employee 163"/>
    <x v="0"/>
    <s v="IT Manager"/>
    <d v="2020-01-01T00:00:00"/>
    <s v="Manager 163"/>
    <x v="0"/>
    <s v="Sweden"/>
    <s v="Full time"/>
    <s v="Level 4"/>
    <s v="G9"/>
    <n v="86756"/>
    <s v="Monthly"/>
    <n v="58000"/>
    <n v="75000"/>
    <n v="87000"/>
    <n v="1.1567466666666666"/>
    <s v="High"/>
    <x v="0"/>
    <n v="1.4999999999999999E-2"/>
    <n v="1301.3399999999999"/>
    <n v="88057.34"/>
    <n v="0.2"/>
    <n v="17611.468000000001"/>
    <n v="1.2"/>
    <n v="21133.761600000002"/>
    <n v="0.32"/>
    <s v="C"/>
    <n v="34941.152512000001"/>
    <n v="4402.8670000000002"/>
    <n v="1200"/>
    <n v="40544.019511999999"/>
    <n v="68647.082087999996"/>
  </r>
  <r>
    <n v="1164"/>
    <s v="Employee 164"/>
    <x v="4"/>
    <s v="Senior Sales Specialist"/>
    <d v="2024-01-01T00:00:00"/>
    <s v="Manager 164"/>
    <x v="4"/>
    <s v="Sweden"/>
    <s v="Full time"/>
    <s v="Level 3"/>
    <s v="G7"/>
    <n v="47000"/>
    <s v="Monthly"/>
    <n v="38000"/>
    <n v="50000"/>
    <n v="56000"/>
    <n v="0.94"/>
    <s v="Below Mid"/>
    <x v="1"/>
    <n v="0.03"/>
    <n v="1410"/>
    <n v="48410"/>
    <n v="0.15"/>
    <n v="7261.5"/>
    <n v="1"/>
    <n v="7261.5"/>
    <n v="0.31"/>
    <s v="A"/>
    <n v="17258.165000000001"/>
    <n v="2420.5"/>
    <n v="500"/>
    <n v="20178.665000000001"/>
    <n v="35492.834999999999"/>
  </r>
  <r>
    <n v="1165"/>
    <s v="Employee 165"/>
    <x v="0"/>
    <s v="IT Manager"/>
    <d v="2020-01-01T00:00:00"/>
    <s v="Manager 165"/>
    <x v="4"/>
    <s v="Sweden"/>
    <s v="Full time"/>
    <s v="Level 4"/>
    <s v="G9"/>
    <n v="86756"/>
    <s v="Monthly"/>
    <n v="58000"/>
    <n v="75000"/>
    <n v="87000"/>
    <n v="1.1567466666666666"/>
    <s v="High"/>
    <x v="1"/>
    <n v="0.01"/>
    <n v="867.56000000000006"/>
    <n v="87623.56"/>
    <n v="0.2"/>
    <n v="17524.712"/>
    <n v="1"/>
    <n v="17524.712"/>
    <n v="0.3"/>
    <s v="C"/>
    <n v="31544.481599999999"/>
    <n v="4381.1779999999999"/>
    <n v="1200"/>
    <n v="37125.659599999999"/>
    <n v="68022.612399999998"/>
  </r>
  <r>
    <n v="1166"/>
    <s v="Employee 166"/>
    <x v="5"/>
    <s v="Operations Specialist"/>
    <d v="2022-01-01T00:00:00"/>
    <s v="Manager 166"/>
    <x v="4"/>
    <s v="Sweden"/>
    <s v="Full time"/>
    <s v="Level 2"/>
    <s v="G5"/>
    <n v="35433"/>
    <s v="Monthly"/>
    <n v="30000"/>
    <n v="35000"/>
    <n v="40000"/>
    <n v="1.0123714285714285"/>
    <s v="Around Mid"/>
    <x v="1"/>
    <n v="2.5000000000000001E-2"/>
    <n v="885.82500000000005"/>
    <n v="36318.824999999997"/>
    <n v="0.1"/>
    <n v="3631.8824999999997"/>
    <n v="1"/>
    <n v="3631.8824999999997"/>
    <n v="0.28000000000000003"/>
    <s v="A"/>
    <n v="11186.1981"/>
    <n v="1815.9412499999999"/>
    <n v="500"/>
    <n v="13502.139349999999"/>
    <n v="26448.568149999999"/>
  </r>
  <r>
    <n v="1167"/>
    <s v="Employee 167"/>
    <x v="1"/>
    <s v="HRBP"/>
    <d v="2022-01-01T00:00:00"/>
    <s v="Manager 167"/>
    <x v="4"/>
    <s v="Sweden"/>
    <s v="Full time"/>
    <s v="Level 3"/>
    <s v="G7"/>
    <n v="47000"/>
    <s v="Monthly"/>
    <n v="38000"/>
    <n v="50000"/>
    <n v="56000"/>
    <n v="0.94"/>
    <s v="Below Mid"/>
    <x v="1"/>
    <n v="0.03"/>
    <n v="1410"/>
    <n v="48410"/>
    <n v="0.2"/>
    <n v="9682"/>
    <n v="1"/>
    <n v="9682"/>
    <n v="0.31"/>
    <s v="B"/>
    <n v="18008.52"/>
    <n v="2420.5"/>
    <n v="800"/>
    <n v="21229.02"/>
    <n v="36862.979999999996"/>
  </r>
  <r>
    <n v="1168"/>
    <s v="Employee 168"/>
    <x v="5"/>
    <s v="Operations Specialist"/>
    <d v="2022-01-01T00:00:00"/>
    <s v="Manager 168"/>
    <x v="4"/>
    <s v="Sweden"/>
    <s v="Full time"/>
    <s v="Level 2"/>
    <s v="G5"/>
    <n v="35285"/>
    <s v="Monthly"/>
    <n v="30000"/>
    <n v="35000"/>
    <n v="40000"/>
    <n v="1.0081428571428572"/>
    <s v="Around Mid"/>
    <x v="1"/>
    <n v="2.5000000000000001E-2"/>
    <n v="882.125"/>
    <n v="36167.125"/>
    <n v="0.1"/>
    <n v="3616.7125000000001"/>
    <n v="1"/>
    <n v="3616.7125000000001"/>
    <n v="0.28000000000000003"/>
    <s v="B"/>
    <n v="11139.474500000002"/>
    <n v="1808.35625"/>
    <n v="800"/>
    <n v="13747.830750000003"/>
    <n v="26036.00675"/>
  </r>
  <r>
    <n v="1169"/>
    <s v="Employee 169"/>
    <x v="5"/>
    <s v="Operations Manager"/>
    <d v="2020-01-01T00:00:00"/>
    <s v="Manager 169"/>
    <x v="4"/>
    <s v="Sweden"/>
    <s v="Full time"/>
    <s v="Level 4"/>
    <s v="G8"/>
    <n v="71263"/>
    <s v="Monthly"/>
    <n v="55000"/>
    <n v="75000"/>
    <n v="85000"/>
    <n v="0.95017333333333331"/>
    <s v="Around Mid"/>
    <x v="1"/>
    <n v="2.5000000000000001E-2"/>
    <n v="1781.575"/>
    <n v="73044.574999999997"/>
    <n v="0.2"/>
    <n v="14608.915000000001"/>
    <n v="1"/>
    <n v="14608.915000000001"/>
    <n v="0.32"/>
    <s v="C"/>
    <n v="28049.116799999996"/>
    <n v="3652.2287500000002"/>
    <n v="1200"/>
    <n v="32901.345549999998"/>
    <n v="54752.144449999993"/>
  </r>
  <r>
    <n v="1170"/>
    <s v="Employee 170"/>
    <x v="0"/>
    <s v="IT Manager"/>
    <d v="2020-01-01T00:00:00"/>
    <s v="Manager 170"/>
    <x v="4"/>
    <s v="Sweden"/>
    <s v="Full time"/>
    <s v="Level 4"/>
    <s v="G9"/>
    <n v="86756"/>
    <s v="Monthly"/>
    <n v="58000"/>
    <n v="75000"/>
    <n v="87000"/>
    <n v="1.1567466666666666"/>
    <s v="High"/>
    <x v="1"/>
    <n v="0.01"/>
    <n v="867.56000000000006"/>
    <n v="87623.56"/>
    <n v="0.2"/>
    <n v="17524.712"/>
    <n v="1"/>
    <n v="17524.712"/>
    <n v="0.32"/>
    <s v="C"/>
    <n v="33647.447039999999"/>
    <n v="4381.1779999999999"/>
    <n v="1200"/>
    <n v="39228.625039999999"/>
    <n v="65919.646959999998"/>
  </r>
  <r>
    <n v="1171"/>
    <s v="Employee 171"/>
    <x v="3"/>
    <s v="Marketing Manager"/>
    <d v="2020-01-01T00:00:00"/>
    <s v="Manager 171"/>
    <x v="4"/>
    <s v="Sweden"/>
    <s v="Full time"/>
    <s v="Level 4"/>
    <s v="G9"/>
    <n v="86756"/>
    <s v="Monthly"/>
    <n v="58000"/>
    <n v="75000"/>
    <n v="87000"/>
    <n v="1.1567466666666666"/>
    <s v="High"/>
    <x v="1"/>
    <n v="0.01"/>
    <n v="867.56000000000006"/>
    <n v="87623.56"/>
    <n v="0.2"/>
    <n v="17524.712"/>
    <n v="1"/>
    <n v="17524.712"/>
    <n v="0.31"/>
    <s v="A"/>
    <n v="32595.964319999999"/>
    <n v="4381.1779999999999"/>
    <n v="500"/>
    <n v="37477.142319999999"/>
    <n v="67671.129679999998"/>
  </r>
  <r>
    <n v="1172"/>
    <s v="Employee 172"/>
    <x v="2"/>
    <s v="Financial Analyst"/>
    <d v="2022-01-01T00:00:00"/>
    <s v="Manager 172"/>
    <x v="4"/>
    <s v="Sweden"/>
    <s v="Full time"/>
    <s v="Level 2"/>
    <s v="G6"/>
    <n v="43261"/>
    <s v="Monthly"/>
    <n v="35000"/>
    <n v="40000"/>
    <n v="45000"/>
    <n v="1.0815250000000001"/>
    <s v="Above Mid"/>
    <x v="1"/>
    <n v="0.02"/>
    <n v="865.22"/>
    <n v="44126.22"/>
    <n v="0.1"/>
    <n v="4412.6220000000003"/>
    <n v="1"/>
    <n v="4412.6220000000003"/>
    <n v="0.32"/>
    <s v="A"/>
    <n v="15532.429440000002"/>
    <n v="2206.3110000000001"/>
    <n v="500"/>
    <n v="18238.740440000001"/>
    <n v="30300.101560000003"/>
  </r>
  <r>
    <n v="1173"/>
    <s v="Employee 173"/>
    <x v="3"/>
    <s v="Marketing Manager"/>
    <d v="2020-01-01T00:00:00"/>
    <s v="Manager 173"/>
    <x v="4"/>
    <s v="Sweden"/>
    <s v="Full time"/>
    <s v="Level 4"/>
    <s v="G9"/>
    <n v="86756"/>
    <s v="Monthly"/>
    <n v="58000"/>
    <n v="75000"/>
    <n v="87000"/>
    <n v="1.1567466666666666"/>
    <s v="High"/>
    <x v="1"/>
    <n v="0.01"/>
    <n v="867.56000000000006"/>
    <n v="87623.56"/>
    <n v="0.2"/>
    <n v="17524.712"/>
    <n v="1"/>
    <n v="17524.712"/>
    <n v="0.3"/>
    <s v="A"/>
    <n v="31544.481599999999"/>
    <n v="4381.1779999999999"/>
    <n v="500"/>
    <n v="36425.659599999999"/>
    <n v="68722.612399999998"/>
  </r>
  <r>
    <n v="1174"/>
    <s v="Employee 174"/>
    <x v="4"/>
    <s v="Senior Sales Specialist"/>
    <d v="2024-01-01T00:00:00"/>
    <s v="Manager 174"/>
    <x v="4"/>
    <s v="Sweden"/>
    <s v="Full time"/>
    <s v="Level 3"/>
    <s v="G7"/>
    <n v="47000"/>
    <s v="Monthly"/>
    <n v="38000"/>
    <n v="50000"/>
    <n v="56000"/>
    <n v="0.94"/>
    <s v="Below Mid"/>
    <x v="1"/>
    <n v="0.03"/>
    <n v="1410"/>
    <n v="48410"/>
    <n v="0.15"/>
    <n v="7261.5"/>
    <n v="1"/>
    <n v="7261.5"/>
    <n v="0.27"/>
    <s v="C"/>
    <n v="15031.305"/>
    <n v="2420.5"/>
    <n v="1200"/>
    <n v="18651.805"/>
    <n v="37019.695"/>
  </r>
  <r>
    <n v="1175"/>
    <s v="Employee 175"/>
    <x v="0"/>
    <s v="IT Manager"/>
    <d v="2020-01-01T00:00:00"/>
    <s v="Manager 175"/>
    <x v="4"/>
    <s v="Sweden"/>
    <s v="Full time"/>
    <s v="Level 4"/>
    <s v="G9"/>
    <n v="86756"/>
    <s v="Monthly"/>
    <n v="58000"/>
    <n v="75000"/>
    <n v="87000"/>
    <n v="1.1567466666666666"/>
    <s v="High"/>
    <x v="1"/>
    <n v="0.01"/>
    <n v="867.56000000000006"/>
    <n v="87623.56"/>
    <n v="0.2"/>
    <n v="17524.712"/>
    <n v="1"/>
    <n v="17524.712"/>
    <n v="0.32"/>
    <s v="C"/>
    <n v="33647.447039999999"/>
    <n v="4381.1779999999999"/>
    <n v="1200"/>
    <n v="39228.625039999999"/>
    <n v="65919.646959999998"/>
  </r>
  <r>
    <n v="1176"/>
    <s v="Employee 176"/>
    <x v="3"/>
    <s v="Marketing Manager"/>
    <d v="2020-01-01T00:00:00"/>
    <s v="Manager 176"/>
    <x v="4"/>
    <s v="Sweden"/>
    <s v="Full time"/>
    <s v="Level 4"/>
    <s v="G9"/>
    <n v="86756"/>
    <s v="Monthly"/>
    <n v="58000"/>
    <n v="75000"/>
    <n v="87000"/>
    <n v="1.1567466666666666"/>
    <s v="High"/>
    <x v="1"/>
    <n v="0.01"/>
    <n v="867.56000000000006"/>
    <n v="87623.56"/>
    <n v="0.2"/>
    <n v="17524.712"/>
    <n v="1"/>
    <n v="17524.712"/>
    <n v="0.32"/>
    <s v="B"/>
    <n v="33647.447039999999"/>
    <n v="4381.1779999999999"/>
    <n v="800"/>
    <n v="38828.625039999999"/>
    <n v="66319.646959999998"/>
  </r>
  <r>
    <n v="1177"/>
    <s v="Employee 177"/>
    <x v="1"/>
    <s v="HRBP"/>
    <d v="2022-01-01T00:00:00"/>
    <s v="Manager 177"/>
    <x v="4"/>
    <s v="Sweden"/>
    <s v="Full time"/>
    <s v="Level 3"/>
    <s v="G7"/>
    <n v="47000"/>
    <s v="Monthly"/>
    <n v="38000"/>
    <n v="50000"/>
    <n v="56000"/>
    <n v="0.94"/>
    <s v="Below Mid"/>
    <x v="1"/>
    <n v="0.03"/>
    <n v="1410"/>
    <n v="48410"/>
    <n v="0.2"/>
    <n v="9682"/>
    <n v="1"/>
    <n v="9682"/>
    <n v="0.32"/>
    <s v="A"/>
    <n v="18589.439999999999"/>
    <n v="2420.5"/>
    <n v="500"/>
    <n v="21509.94"/>
    <n v="36582.06"/>
  </r>
  <r>
    <n v="1178"/>
    <s v="Employee 178"/>
    <x v="4"/>
    <s v="Senior Sales Specialist"/>
    <d v="2024-01-01T00:00:00"/>
    <s v="Manager 178"/>
    <x v="4"/>
    <s v="Sweden"/>
    <s v="Full time"/>
    <s v="Level 3"/>
    <s v="G7"/>
    <n v="47000"/>
    <s v="Monthly"/>
    <n v="38000"/>
    <n v="50000"/>
    <n v="56000"/>
    <n v="0.94"/>
    <s v="Below Mid"/>
    <x v="1"/>
    <n v="0.03"/>
    <n v="1410"/>
    <n v="48410"/>
    <n v="0.15"/>
    <n v="7261.5"/>
    <n v="1"/>
    <n v="7261.5"/>
    <n v="0.3"/>
    <s v="C"/>
    <n v="16701.45"/>
    <n v="2420.5"/>
    <n v="1200"/>
    <n v="20321.95"/>
    <n v="35349.550000000003"/>
  </r>
  <r>
    <n v="1179"/>
    <s v="Employee 179"/>
    <x v="4"/>
    <s v="Senior Sales Specialist"/>
    <d v="2024-01-01T00:00:00"/>
    <s v="Manager 179"/>
    <x v="4"/>
    <s v="Sweden"/>
    <s v="Full time"/>
    <s v="Level 3"/>
    <s v="G7"/>
    <n v="47000"/>
    <s v="Monthly"/>
    <n v="38000"/>
    <n v="50000"/>
    <n v="56000"/>
    <n v="0.94"/>
    <s v="Below Mid"/>
    <x v="1"/>
    <n v="0.03"/>
    <n v="1410"/>
    <n v="48410"/>
    <n v="0.15"/>
    <n v="7261.5"/>
    <n v="1"/>
    <n v="7261.5"/>
    <n v="0.28999999999999998"/>
    <s v="C"/>
    <n v="16144.734999999999"/>
    <n v="2420.5"/>
    <n v="1200"/>
    <n v="19765.235000000001"/>
    <n v="35906.264999999999"/>
  </r>
  <r>
    <n v="1180"/>
    <s v="Employee 180"/>
    <x v="1"/>
    <s v="HRBP"/>
    <d v="2022-01-01T00:00:00"/>
    <s v="Manager 180"/>
    <x v="4"/>
    <s v="Sweden"/>
    <s v="Full time"/>
    <s v="Level 3"/>
    <s v="G7"/>
    <n v="42000"/>
    <s v="Monthly"/>
    <n v="38000"/>
    <n v="50000"/>
    <n v="56000"/>
    <n v="0.84"/>
    <s v="Very Low"/>
    <x v="1"/>
    <n v="0.04"/>
    <n v="1680"/>
    <n v="43680"/>
    <n v="0.2"/>
    <n v="8736"/>
    <n v="1"/>
    <n v="8736"/>
    <n v="0.31"/>
    <s v="A"/>
    <n v="16248.96"/>
    <n v="2184"/>
    <n v="500"/>
    <n v="18932.96"/>
    <n v="33483.040000000001"/>
  </r>
  <r>
    <n v="1181"/>
    <s v="Employee 181"/>
    <x v="2"/>
    <s v="Financial Analyst"/>
    <d v="2022-01-01T00:00:00"/>
    <s v="Manager 181"/>
    <x v="4"/>
    <s v="Sweden"/>
    <s v="Full time"/>
    <s v="Level 2"/>
    <s v="G6"/>
    <n v="43261"/>
    <s v="Monthly"/>
    <n v="35000"/>
    <n v="40000"/>
    <n v="45000"/>
    <n v="1.0815250000000001"/>
    <s v="Above Mid"/>
    <x v="1"/>
    <n v="0.02"/>
    <n v="865.22"/>
    <n v="44126.22"/>
    <n v="0.1"/>
    <n v="4412.6220000000003"/>
    <n v="1"/>
    <n v="4412.6220000000003"/>
    <n v="0.3"/>
    <s v="B"/>
    <n v="14561.652600000001"/>
    <n v="2206.3110000000001"/>
    <n v="800"/>
    <n v="17567.963600000003"/>
    <n v="30970.878400000001"/>
  </r>
  <r>
    <n v="1182"/>
    <s v="Employee 182"/>
    <x v="0"/>
    <s v="IT Manager"/>
    <d v="2020-01-01T00:00:00"/>
    <s v="Manager 182"/>
    <x v="4"/>
    <s v="Sweden"/>
    <s v="Full time"/>
    <s v="Level 4"/>
    <s v="G9"/>
    <n v="87703"/>
    <s v="Monthly"/>
    <n v="58000"/>
    <n v="75000"/>
    <n v="87000"/>
    <n v="1.1693733333333334"/>
    <s v="High"/>
    <x v="1"/>
    <n v="0.01"/>
    <n v="877.03"/>
    <n v="88580.03"/>
    <n v="0.2"/>
    <n v="17716.006000000001"/>
    <n v="1"/>
    <n v="17716.006000000001"/>
    <n v="0.32"/>
    <s v="B"/>
    <n v="34014.731520000001"/>
    <n v="4429.0015000000003"/>
    <n v="800"/>
    <n v="39243.73302"/>
    <n v="67052.302979999993"/>
  </r>
  <r>
    <n v="1183"/>
    <s v="Employee 183"/>
    <x v="0"/>
    <s v="IT Manager"/>
    <d v="2020-01-01T00:00:00"/>
    <s v="Manager 183"/>
    <x v="4"/>
    <s v="Sweden"/>
    <s v="Full time"/>
    <s v="Level 4"/>
    <s v="G9"/>
    <n v="87703"/>
    <s v="Monthly"/>
    <n v="58000"/>
    <n v="75000"/>
    <n v="87000"/>
    <n v="1.1693733333333334"/>
    <s v="High"/>
    <x v="1"/>
    <n v="0.01"/>
    <n v="877.03"/>
    <n v="88580.03"/>
    <n v="0.2"/>
    <n v="17716.006000000001"/>
    <n v="1"/>
    <n v="17716.006000000001"/>
    <n v="0.32"/>
    <s v="A"/>
    <n v="34014.731520000001"/>
    <n v="4429.0015000000003"/>
    <n v="500"/>
    <n v="38943.73302"/>
    <n v="67352.302979999993"/>
  </r>
  <r>
    <n v="1184"/>
    <s v="Employee 184"/>
    <x v="5"/>
    <s v="Operations Manager"/>
    <d v="2020-01-01T00:00:00"/>
    <s v="Manager 184"/>
    <x v="4"/>
    <s v="Sweden"/>
    <s v="Full time"/>
    <s v="Level 4"/>
    <s v="G8"/>
    <n v="71263"/>
    <s v="Monthly"/>
    <n v="55000"/>
    <n v="75000"/>
    <n v="85000"/>
    <n v="0.95017333333333331"/>
    <s v="Around Mid"/>
    <x v="1"/>
    <n v="2.5000000000000001E-2"/>
    <n v="1781.575"/>
    <n v="73044.574999999997"/>
    <n v="0.2"/>
    <n v="14608.915000000001"/>
    <n v="1"/>
    <n v="14608.915000000001"/>
    <n v="0.3"/>
    <s v="B"/>
    <n v="26296.046999999995"/>
    <n v="3652.2287500000002"/>
    <n v="800"/>
    <n v="30748.275749999993"/>
    <n v="56905.214249999997"/>
  </r>
  <r>
    <n v="1185"/>
    <s v="Employee 185"/>
    <x v="5"/>
    <s v="Operations Manager"/>
    <d v="2020-01-01T00:00:00"/>
    <s v="Manager 185"/>
    <x v="4"/>
    <s v="Sweden"/>
    <s v="Full time"/>
    <s v="Level 4"/>
    <s v="G8"/>
    <n v="71263"/>
    <s v="Monthly"/>
    <n v="55000"/>
    <n v="75000"/>
    <n v="85000"/>
    <n v="0.95017333333333331"/>
    <s v="Around Mid"/>
    <x v="1"/>
    <n v="2.5000000000000001E-2"/>
    <n v="1781.575"/>
    <n v="73044.574999999997"/>
    <n v="0.2"/>
    <n v="14608.915000000001"/>
    <n v="1"/>
    <n v="14608.915000000001"/>
    <n v="0.32"/>
    <s v="A"/>
    <n v="28049.116799999996"/>
    <n v="3652.2287500000002"/>
    <n v="500"/>
    <n v="32201.345549999998"/>
    <n v="55452.144449999993"/>
  </r>
  <r>
    <n v="1186"/>
    <s v="Employee 186"/>
    <x v="4"/>
    <s v="Senior Sales Specialist"/>
    <d v="2024-01-01T00:00:00"/>
    <s v="Manager 186"/>
    <x v="4"/>
    <s v="Sweden"/>
    <s v="Full time"/>
    <s v="Level 3"/>
    <s v="G7"/>
    <n v="42000"/>
    <s v="Monthly"/>
    <n v="38000"/>
    <n v="50000"/>
    <n v="56000"/>
    <n v="0.84"/>
    <s v="Very Low"/>
    <x v="1"/>
    <n v="0.04"/>
    <n v="1680"/>
    <n v="43680"/>
    <n v="0.15"/>
    <n v="6552"/>
    <n v="1"/>
    <n v="6552"/>
    <n v="0.3"/>
    <s v="C"/>
    <n v="15069.599999999999"/>
    <n v="2184"/>
    <n v="1200"/>
    <n v="18453.599999999999"/>
    <n v="31778.400000000001"/>
  </r>
  <r>
    <n v="1187"/>
    <s v="Employee 187"/>
    <x v="4"/>
    <s v="Senior Sales Specialist"/>
    <d v="2024-01-01T00:00:00"/>
    <s v="Manager 187"/>
    <x v="4"/>
    <s v="Sweden"/>
    <s v="Full time"/>
    <s v="Level 3"/>
    <s v="G7"/>
    <n v="42000"/>
    <s v="Monthly"/>
    <n v="38000"/>
    <n v="50000"/>
    <n v="56000"/>
    <n v="0.84"/>
    <s v="Very Low"/>
    <x v="1"/>
    <n v="0.04"/>
    <n v="1680"/>
    <n v="43680"/>
    <n v="0.15"/>
    <n v="6552"/>
    <n v="1"/>
    <n v="6552"/>
    <n v="0.27"/>
    <s v="B"/>
    <n v="13562.640000000001"/>
    <n v="2184"/>
    <n v="800"/>
    <n v="16546.64"/>
    <n v="33685.360000000001"/>
  </r>
  <r>
    <n v="1188"/>
    <s v="Employee 188"/>
    <x v="2"/>
    <s v="Financial Analyst"/>
    <d v="2022-01-01T00:00:00"/>
    <s v="Manager 188"/>
    <x v="4"/>
    <s v="Sweden"/>
    <s v="Full time"/>
    <s v="Level 2"/>
    <s v="G6"/>
    <n v="43261"/>
    <s v="Monthly"/>
    <n v="35000"/>
    <n v="40000"/>
    <n v="45000"/>
    <n v="1.0815250000000001"/>
    <s v="Above Mid"/>
    <x v="1"/>
    <n v="0.02"/>
    <n v="865.22"/>
    <n v="44126.22"/>
    <n v="0.1"/>
    <n v="4412.6220000000003"/>
    <n v="1"/>
    <n v="4412.6220000000003"/>
    <n v="0.27"/>
    <s v="C"/>
    <n v="13105.487340000001"/>
    <n v="2206.3110000000001"/>
    <n v="1200"/>
    <n v="16511.798340000001"/>
    <n v="32027.043660000003"/>
  </r>
  <r>
    <n v="1189"/>
    <s v="Employee 189"/>
    <x v="5"/>
    <s v="Operations Manager"/>
    <d v="2020-01-01T00:00:00"/>
    <s v="Manager 189"/>
    <x v="4"/>
    <s v="Sweden"/>
    <s v="Full time"/>
    <s v="Level 4"/>
    <s v="G8"/>
    <n v="71263"/>
    <s v="Monthly"/>
    <n v="55000"/>
    <n v="75000"/>
    <n v="85000"/>
    <n v="0.95017333333333331"/>
    <s v="Around Mid"/>
    <x v="1"/>
    <n v="2.5000000000000001E-2"/>
    <n v="1781.575"/>
    <n v="73044.574999999997"/>
    <n v="0.2"/>
    <n v="14608.915000000001"/>
    <n v="1"/>
    <n v="14608.915000000001"/>
    <n v="0.31"/>
    <s v="A"/>
    <n v="27172.581899999997"/>
    <n v="3652.2287500000002"/>
    <n v="500"/>
    <n v="31324.810649999999"/>
    <n v="56328.679349999991"/>
  </r>
  <r>
    <n v="1190"/>
    <s v="Employee 190"/>
    <x v="4"/>
    <s v="Senior Sales Specialist"/>
    <d v="2024-01-01T00:00:00"/>
    <s v="Manager 190"/>
    <x v="4"/>
    <s v="Sweden"/>
    <s v="Full time"/>
    <s v="Level 3"/>
    <s v="G7"/>
    <n v="42000"/>
    <s v="Monthly"/>
    <n v="38000"/>
    <n v="50000"/>
    <n v="56000"/>
    <n v="0.84"/>
    <s v="Very Low"/>
    <x v="1"/>
    <n v="0.04"/>
    <n v="1680"/>
    <n v="43680"/>
    <n v="0.15"/>
    <n v="6552"/>
    <n v="1"/>
    <n v="6552"/>
    <n v="0.27"/>
    <s v="A"/>
    <n v="13562.640000000001"/>
    <n v="2184"/>
    <n v="500"/>
    <n v="16246.640000000001"/>
    <n v="33985.360000000001"/>
  </r>
  <r>
    <n v="1191"/>
    <s v="Employee 191"/>
    <x v="4"/>
    <s v="Senior Sales Specialist"/>
    <d v="2024-01-01T00:00:00"/>
    <s v="Manager 191"/>
    <x v="4"/>
    <s v="Sweden"/>
    <s v="Full time"/>
    <s v="Level 3"/>
    <s v="G7"/>
    <n v="42000"/>
    <s v="Monthly"/>
    <n v="38000"/>
    <n v="50000"/>
    <n v="56000"/>
    <n v="0.84"/>
    <s v="Very Low"/>
    <x v="1"/>
    <n v="0.04"/>
    <n v="1680"/>
    <n v="43680"/>
    <n v="0.15"/>
    <n v="6552"/>
    <n v="1"/>
    <n v="6552"/>
    <n v="0.27"/>
    <s v="B"/>
    <n v="13562.640000000001"/>
    <n v="2184"/>
    <n v="800"/>
    <n v="16546.64"/>
    <n v="33685.360000000001"/>
  </r>
  <r>
    <n v="1192"/>
    <s v="Employee 192"/>
    <x v="0"/>
    <s v="IT Manager"/>
    <d v="2020-01-01T00:00:00"/>
    <s v="Manager 192"/>
    <x v="4"/>
    <s v="Sweden"/>
    <s v="Full time"/>
    <s v="Level 4"/>
    <s v="G9"/>
    <n v="87703"/>
    <s v="Monthly"/>
    <n v="58000"/>
    <n v="75000"/>
    <n v="87000"/>
    <n v="1.1693733333333334"/>
    <s v="High"/>
    <x v="1"/>
    <n v="0.01"/>
    <n v="877.03"/>
    <n v="88580.03"/>
    <n v="0.2"/>
    <n v="17716.006000000001"/>
    <n v="1"/>
    <n v="17716.006000000001"/>
    <n v="0.31"/>
    <s v="C"/>
    <n v="32951.771159999997"/>
    <n v="4429.0015000000003"/>
    <n v="1200"/>
    <n v="38580.772659999995"/>
    <n v="67715.263340000005"/>
  </r>
  <r>
    <n v="1193"/>
    <s v="Employee 193"/>
    <x v="1"/>
    <s v="HRBP"/>
    <d v="2022-01-01T00:00:00"/>
    <s v="Manager 193"/>
    <x v="4"/>
    <s v="Sweden"/>
    <s v="Full time"/>
    <s v="Level 3"/>
    <s v="G7"/>
    <n v="42000"/>
    <s v="Monthly"/>
    <n v="38000"/>
    <n v="50000"/>
    <n v="56000"/>
    <n v="0.84"/>
    <s v="Very Low"/>
    <x v="1"/>
    <n v="0.04"/>
    <n v="1680"/>
    <n v="43680"/>
    <n v="0.2"/>
    <n v="8736"/>
    <n v="1"/>
    <n v="8736"/>
    <n v="0.31"/>
    <s v="A"/>
    <n v="16248.96"/>
    <n v="2184"/>
    <n v="500"/>
    <n v="18932.96"/>
    <n v="33483.040000000001"/>
  </r>
  <r>
    <n v="1194"/>
    <s v="Employee 194"/>
    <x v="2"/>
    <s v="Financial Analyst"/>
    <d v="2022-01-01T00:00:00"/>
    <s v="Manager 194"/>
    <x v="4"/>
    <s v="Sweden"/>
    <s v="Full time"/>
    <s v="Level 2"/>
    <s v="G6"/>
    <n v="43261"/>
    <s v="Monthly"/>
    <n v="35000"/>
    <n v="40000"/>
    <n v="45000"/>
    <n v="1.0815250000000001"/>
    <s v="Above Mid"/>
    <x v="1"/>
    <n v="0.02"/>
    <n v="865.22"/>
    <n v="44126.22"/>
    <n v="0.1"/>
    <n v="4412.6220000000003"/>
    <n v="1"/>
    <n v="4412.6220000000003"/>
    <n v="0.32"/>
    <s v="C"/>
    <n v="15532.429440000002"/>
    <n v="2206.3110000000001"/>
    <n v="1200"/>
    <n v="18938.740440000001"/>
    <n v="29600.101560000003"/>
  </r>
  <r>
    <n v="1195"/>
    <s v="Employee 195"/>
    <x v="5"/>
    <s v="Operations Manager"/>
    <d v="2020-01-01T00:00:00"/>
    <s v="Manager 195"/>
    <x v="3"/>
    <s v="Sweden"/>
    <s v="Full time"/>
    <s v="Level 4"/>
    <s v="G8"/>
    <n v="71263"/>
    <s v="Monthly"/>
    <n v="55000"/>
    <n v="75000"/>
    <n v="85000"/>
    <n v="0.95017333333333331"/>
    <s v="Around Mid"/>
    <x v="0"/>
    <n v="0.04"/>
    <n v="2850.52"/>
    <n v="74113.52"/>
    <n v="0.2"/>
    <n v="14822.704000000002"/>
    <n v="1.2"/>
    <n v="17787.2448"/>
    <n v="0.32"/>
    <s v="C"/>
    <n v="29408.244736000001"/>
    <n v="3705.6760000000004"/>
    <n v="1200"/>
    <n v="34313.920736"/>
    <n v="57586.844064000004"/>
  </r>
  <r>
    <n v="1196"/>
    <s v="Employee 196"/>
    <x v="0"/>
    <s v="IT Manager"/>
    <d v="2020-01-01T00:00:00"/>
    <s v="Manager 196"/>
    <x v="3"/>
    <s v="Sweden"/>
    <s v="Full time"/>
    <s v="Level 4"/>
    <s v="G9"/>
    <n v="87703"/>
    <s v="Monthly"/>
    <n v="58000"/>
    <n v="75000"/>
    <n v="87000"/>
    <n v="1.1693733333333334"/>
    <s v="High"/>
    <x v="0"/>
    <n v="1.4999999999999999E-2"/>
    <n v="1315.5449999999998"/>
    <n v="89018.544999999998"/>
    <n v="0.2"/>
    <n v="17803.708999999999"/>
    <n v="1.2"/>
    <n v="21364.450799999999"/>
    <n v="0.32"/>
    <s v="B"/>
    <n v="35322.558656000001"/>
    <n v="4450.9272499999997"/>
    <n v="800"/>
    <n v="40573.485906000002"/>
    <n v="69809.509894000003"/>
  </r>
  <r>
    <n v="1197"/>
    <s v="Employee 197"/>
    <x v="2"/>
    <s v="Financial Analyst"/>
    <d v="2022-01-01T00:00:00"/>
    <s v="Manager 197"/>
    <x v="3"/>
    <s v="Sweden"/>
    <s v="Full time"/>
    <s v="Level 2"/>
    <s v="G6"/>
    <n v="43261"/>
    <s v="Monthly"/>
    <n v="35000"/>
    <n v="40000"/>
    <n v="45000"/>
    <n v="1.0815250000000001"/>
    <s v="Above Mid"/>
    <x v="0"/>
    <n v="0.03"/>
    <n v="1297.83"/>
    <n v="44558.83"/>
    <n v="0.1"/>
    <n v="4455.8830000000007"/>
    <n v="1.2"/>
    <n v="5347.0596000000005"/>
    <n v="0.31"/>
    <s v="B"/>
    <n v="15470.825776"/>
    <n v="2227.9415000000004"/>
    <n v="800"/>
    <n v="18498.767275999999"/>
    <n v="31407.122324000004"/>
  </r>
  <r>
    <n v="1198"/>
    <s v="Employee 198"/>
    <x v="2"/>
    <s v="Financial Analyst"/>
    <d v="2022-01-01T00:00:00"/>
    <s v="Manager 198"/>
    <x v="3"/>
    <s v="Sweden"/>
    <s v="Full time"/>
    <s v="Level 2"/>
    <s v="G6"/>
    <n v="43261"/>
    <s v="Monthly"/>
    <n v="35000"/>
    <n v="40000"/>
    <n v="45000"/>
    <n v="1.0815250000000001"/>
    <s v="Above Mid"/>
    <x v="0"/>
    <n v="0.03"/>
    <n v="1297.83"/>
    <n v="44558.83"/>
    <n v="0.1"/>
    <n v="4455.8830000000007"/>
    <n v="1.2"/>
    <n v="5347.0596000000005"/>
    <n v="0.32"/>
    <s v="B"/>
    <n v="15969.884672000002"/>
    <n v="2227.9415000000004"/>
    <n v="800"/>
    <n v="18997.826172000001"/>
    <n v="30908.063428000001"/>
  </r>
  <r>
    <n v="1199"/>
    <s v="Employee 199"/>
    <x v="0"/>
    <s v="IT Manager"/>
    <d v="2020-01-01T00:00:00"/>
    <s v="Manager 199"/>
    <x v="3"/>
    <s v="Sweden"/>
    <s v="Full time"/>
    <s v="Level 4"/>
    <s v="G9"/>
    <n v="87703"/>
    <s v="Monthly"/>
    <n v="58000"/>
    <n v="75000"/>
    <n v="87000"/>
    <n v="1.1693733333333334"/>
    <s v="High"/>
    <x v="0"/>
    <n v="1.4999999999999999E-2"/>
    <n v="1315.5449999999998"/>
    <n v="89018.544999999998"/>
    <n v="0.2"/>
    <n v="17803.708999999999"/>
    <n v="1.2"/>
    <n v="21364.450799999999"/>
    <n v="0.32"/>
    <s v="A"/>
    <n v="35322.558656000001"/>
    <n v="4450.9272499999997"/>
    <n v="500"/>
    <n v="40273.485906000002"/>
    <n v="70109.509894000003"/>
  </r>
  <r>
    <n v="1200"/>
    <s v="Employee 200"/>
    <x v="5"/>
    <s v="Operations Manager"/>
    <d v="2020-01-01T00:00:00"/>
    <s v="Manager 200"/>
    <x v="3"/>
    <s v="Sweden"/>
    <s v="Full time"/>
    <s v="Level 4"/>
    <s v="G8"/>
    <n v="71263"/>
    <s v="Monthly"/>
    <n v="55000"/>
    <n v="75000"/>
    <n v="85000"/>
    <n v="0.95017333333333331"/>
    <s v="Around Mid"/>
    <x v="0"/>
    <n v="0.04"/>
    <n v="2850.52"/>
    <n v="74113.52"/>
    <n v="0.2"/>
    <n v="14822.704000000002"/>
    <n v="1.2"/>
    <n v="17787.2448"/>
    <n v="0.3"/>
    <s v="A"/>
    <n v="27570.229439999999"/>
    <n v="3705.6760000000004"/>
    <n v="500"/>
    <n v="31775.905439999999"/>
    <n v="60124.859360000002"/>
  </r>
  <r>
    <n v="1201"/>
    <s v="Employee 201"/>
    <x v="5"/>
    <s v="Operations Manager"/>
    <d v="2020-01-01T00:00:00"/>
    <s v="Manager 201"/>
    <x v="3"/>
    <s v="Sweden"/>
    <s v="Full time"/>
    <s v="Level 4"/>
    <s v="G8"/>
    <n v="71263"/>
    <s v="Monthly"/>
    <n v="55000"/>
    <n v="75000"/>
    <n v="85000"/>
    <n v="0.95017333333333331"/>
    <s v="Around Mid"/>
    <x v="0"/>
    <n v="0.04"/>
    <n v="2850.52"/>
    <n v="74113.52"/>
    <n v="0.2"/>
    <n v="14822.704000000002"/>
    <n v="1.2"/>
    <n v="17787.2448"/>
    <n v="0.3"/>
    <s v="C"/>
    <n v="27570.229439999999"/>
    <n v="3705.6760000000004"/>
    <n v="1200"/>
    <n v="32475.905439999999"/>
    <n v="59424.859360000002"/>
  </r>
  <r>
    <n v="1202"/>
    <s v="Employee 202"/>
    <x v="5"/>
    <s v="Operations Manager"/>
    <d v="2020-01-01T00:00:00"/>
    <s v="Manager 202"/>
    <x v="3"/>
    <s v="Sweden"/>
    <s v="Full time"/>
    <s v="Level 4"/>
    <s v="G8"/>
    <n v="73100"/>
    <s v="Monthly"/>
    <n v="55000"/>
    <n v="75000"/>
    <n v="85000"/>
    <n v="0.97466666666666668"/>
    <s v="Around Mid"/>
    <x v="0"/>
    <n v="0.04"/>
    <n v="2924"/>
    <n v="76024"/>
    <n v="0.2"/>
    <n v="15204.800000000001"/>
    <n v="1.2"/>
    <n v="18245.760000000002"/>
    <n v="0.32"/>
    <s v="A"/>
    <n v="30166.323200000003"/>
    <n v="3801.2000000000003"/>
    <n v="500"/>
    <n v="34467.523200000003"/>
    <n v="59802.236800000006"/>
  </r>
  <r>
    <n v="1203"/>
    <s v="Employee 203"/>
    <x v="5"/>
    <s v="Operations Manager"/>
    <d v="2020-01-01T00:00:00"/>
    <s v="Manager 203"/>
    <x v="3"/>
    <s v="Sweden"/>
    <s v="Full time"/>
    <s v="Level 4"/>
    <s v="G8"/>
    <n v="73100"/>
    <s v="Monthly"/>
    <n v="55000"/>
    <n v="75000"/>
    <n v="85000"/>
    <n v="0.97466666666666668"/>
    <s v="Around Mid"/>
    <x v="0"/>
    <n v="0.04"/>
    <n v="2924"/>
    <n v="76024"/>
    <n v="0.2"/>
    <n v="15204.800000000001"/>
    <n v="1.2"/>
    <n v="18245.760000000002"/>
    <n v="0.31"/>
    <s v="B"/>
    <n v="29223.625600000003"/>
    <n v="3801.2000000000003"/>
    <n v="800"/>
    <n v="33824.825600000004"/>
    <n v="60444.934400000006"/>
  </r>
  <r>
    <n v="1204"/>
    <s v="Employee 204"/>
    <x v="3"/>
    <s v="Marketing Manager"/>
    <d v="2020-01-01T00:00:00"/>
    <s v="Manager 204"/>
    <x v="3"/>
    <s v="Sweden"/>
    <s v="Full time"/>
    <s v="Level 4"/>
    <s v="G9"/>
    <n v="87703"/>
    <s v="Monthly"/>
    <n v="58000"/>
    <n v="75000"/>
    <n v="87000"/>
    <n v="1.1693733333333334"/>
    <s v="High"/>
    <x v="0"/>
    <n v="1.4999999999999999E-2"/>
    <n v="1315.5449999999998"/>
    <n v="89018.544999999998"/>
    <n v="0.2"/>
    <n v="17803.708999999999"/>
    <n v="1.2"/>
    <n v="21364.450799999999"/>
    <n v="0.3"/>
    <s v="A"/>
    <n v="33114.898739999997"/>
    <n v="4450.9272499999997"/>
    <n v="500"/>
    <n v="38065.825989999998"/>
    <n v="72317.169810000007"/>
  </r>
  <r>
    <n v="1205"/>
    <s v="Employee 205"/>
    <x v="4"/>
    <s v="Senior Sales Specialist"/>
    <d v="2024-01-01T00:00:00"/>
    <s v="Manager 205"/>
    <x v="3"/>
    <s v="Sweden"/>
    <s v="Full time"/>
    <s v="Level 3"/>
    <s v="G7"/>
    <n v="42000"/>
    <s v="Monthly"/>
    <n v="38000"/>
    <n v="50000"/>
    <n v="56000"/>
    <n v="0.84"/>
    <s v="Very Low"/>
    <x v="0"/>
    <n v="0.06"/>
    <n v="2520"/>
    <n v="44520"/>
    <n v="0.15"/>
    <n v="6678"/>
    <n v="1.2"/>
    <n v="8013.5999999999995"/>
    <n v="0.27"/>
    <s v="B"/>
    <n v="14184.072"/>
    <n v="2226"/>
    <n v="800"/>
    <n v="17210.072"/>
    <n v="35323.527999999998"/>
  </r>
  <r>
    <n v="1206"/>
    <s v="Employee 206"/>
    <x v="0"/>
    <s v="IT Manager"/>
    <d v="2020-01-01T00:00:00"/>
    <s v="Manager 206"/>
    <x v="3"/>
    <s v="Sweden"/>
    <s v="Full time"/>
    <s v="Level 4"/>
    <s v="G9"/>
    <n v="87703"/>
    <s v="Monthly"/>
    <n v="58000"/>
    <n v="75000"/>
    <n v="87000"/>
    <n v="1.1693733333333334"/>
    <s v="High"/>
    <x v="1"/>
    <n v="0.01"/>
    <n v="877.03"/>
    <n v="88580.03"/>
    <n v="0.2"/>
    <n v="17716.006000000001"/>
    <n v="1"/>
    <n v="17716.006000000001"/>
    <n v="0.32"/>
    <s v="A"/>
    <n v="34014.731520000001"/>
    <n v="4429.0015000000003"/>
    <n v="500"/>
    <n v="38943.73302"/>
    <n v="67352.302979999993"/>
  </r>
  <r>
    <n v="1207"/>
    <s v="Employee 207"/>
    <x v="0"/>
    <s v="IT Manager"/>
    <d v="2020-01-01T00:00:00"/>
    <s v="Manager 207"/>
    <x v="3"/>
    <s v="Sweden"/>
    <s v="Full time"/>
    <s v="Level 4"/>
    <s v="G9"/>
    <n v="88313"/>
    <s v="Monthly"/>
    <n v="58000"/>
    <n v="75000"/>
    <n v="87000"/>
    <n v="1.1775066666666667"/>
    <s v="High"/>
    <x v="1"/>
    <n v="0.01"/>
    <n v="883.13"/>
    <n v="89196.13"/>
    <n v="0.2"/>
    <n v="17839.226000000002"/>
    <n v="1"/>
    <n v="17839.226000000002"/>
    <n v="0.32"/>
    <s v="C"/>
    <n v="34251.313920000001"/>
    <n v="4459.8065000000006"/>
    <n v="1200"/>
    <n v="39911.120419999999"/>
    <n v="67124.235580000008"/>
  </r>
  <r>
    <n v="1208"/>
    <s v="Employee 208"/>
    <x v="0"/>
    <s v="IT Manager"/>
    <d v="2020-01-01T00:00:00"/>
    <s v="Manager 208"/>
    <x v="3"/>
    <s v="Sweden"/>
    <s v="Full time"/>
    <s v="Level 4"/>
    <s v="G9"/>
    <n v="88313"/>
    <s v="Monthly"/>
    <n v="58000"/>
    <n v="75000"/>
    <n v="87000"/>
    <n v="1.1775066666666667"/>
    <s v="High"/>
    <x v="1"/>
    <n v="0.01"/>
    <n v="883.13"/>
    <n v="89196.13"/>
    <n v="0.2"/>
    <n v="17839.226000000002"/>
    <n v="1"/>
    <n v="17839.226000000002"/>
    <n v="0.32"/>
    <s v="C"/>
    <n v="34251.313920000001"/>
    <n v="4459.8065000000006"/>
    <n v="1200"/>
    <n v="39911.120419999999"/>
    <n v="67124.235580000008"/>
  </r>
  <r>
    <n v="1209"/>
    <s v="Employee 209"/>
    <x v="5"/>
    <s v="Operations Manager"/>
    <d v="2020-01-01T00:00:00"/>
    <s v="Manager 209"/>
    <x v="3"/>
    <s v="Sweden"/>
    <s v="Full time"/>
    <s v="Level 4"/>
    <s v="G8"/>
    <n v="73100"/>
    <s v="Monthly"/>
    <n v="55000"/>
    <n v="75000"/>
    <n v="85000"/>
    <n v="0.97466666666666668"/>
    <s v="Around Mid"/>
    <x v="1"/>
    <n v="2.5000000000000001E-2"/>
    <n v="1827.5"/>
    <n v="74927.5"/>
    <n v="0.2"/>
    <n v="14985.5"/>
    <n v="1"/>
    <n v="14985.5"/>
    <n v="0.31"/>
    <s v="C"/>
    <n v="27873.03"/>
    <n v="3746.375"/>
    <n v="1200"/>
    <n v="32819.404999999999"/>
    <n v="57093.595000000001"/>
  </r>
  <r>
    <n v="1210"/>
    <s v="Employee 210"/>
    <x v="5"/>
    <s v="Operations Manager"/>
    <d v="2020-01-01T00:00:00"/>
    <s v="Manager 210"/>
    <x v="3"/>
    <s v="Sweden"/>
    <s v="Full time"/>
    <s v="Level 4"/>
    <s v="G8"/>
    <n v="73100"/>
    <s v="Monthly"/>
    <n v="55000"/>
    <n v="75000"/>
    <n v="85000"/>
    <n v="0.97466666666666668"/>
    <s v="Around Mid"/>
    <x v="1"/>
    <n v="2.5000000000000001E-2"/>
    <n v="1827.5"/>
    <n v="74927.5"/>
    <n v="0.2"/>
    <n v="14985.5"/>
    <n v="1"/>
    <n v="14985.5"/>
    <n v="0.32"/>
    <s v="C"/>
    <n v="28772.16"/>
    <n v="3746.375"/>
    <n v="1200"/>
    <n v="33718.535000000003"/>
    <n v="56194.464999999997"/>
  </r>
  <r>
    <n v="1211"/>
    <s v="Employee 211"/>
    <x v="0"/>
    <s v="IT Manager"/>
    <d v="2020-01-01T00:00:00"/>
    <s v="Manager 211"/>
    <x v="3"/>
    <s v="Sweden"/>
    <s v="Full time"/>
    <s v="Level 4"/>
    <s v="G9"/>
    <n v="88313"/>
    <s v="Monthly"/>
    <n v="58000"/>
    <n v="75000"/>
    <n v="87000"/>
    <n v="1.1775066666666667"/>
    <s v="High"/>
    <x v="1"/>
    <n v="0.01"/>
    <n v="883.13"/>
    <n v="89196.13"/>
    <n v="0.2"/>
    <n v="17839.226000000002"/>
    <n v="1"/>
    <n v="17839.226000000002"/>
    <n v="0.32"/>
    <s v="C"/>
    <n v="34251.313920000001"/>
    <n v="4459.8065000000006"/>
    <n v="1200"/>
    <n v="39911.120419999999"/>
    <n v="67124.235580000008"/>
  </r>
  <r>
    <n v="1212"/>
    <s v="Employee 212"/>
    <x v="2"/>
    <s v="Financial Analyst"/>
    <d v="2022-01-01T00:00:00"/>
    <s v="Manager 212"/>
    <x v="3"/>
    <s v="Sweden"/>
    <s v="Full time"/>
    <s v="Level 2"/>
    <s v="G6"/>
    <n v="43261"/>
    <s v="Monthly"/>
    <n v="35000"/>
    <n v="40000"/>
    <n v="45000"/>
    <n v="1.0815250000000001"/>
    <s v="Above Mid"/>
    <x v="1"/>
    <n v="0.02"/>
    <n v="865.22"/>
    <n v="44126.22"/>
    <n v="0.1"/>
    <n v="4412.6220000000003"/>
    <n v="1"/>
    <n v="4412.6220000000003"/>
    <n v="0.3"/>
    <s v="C"/>
    <n v="14561.652600000001"/>
    <n v="2206.3110000000001"/>
    <n v="1200"/>
    <n v="17967.963600000003"/>
    <n v="30570.878400000001"/>
  </r>
  <r>
    <n v="1213"/>
    <s v="Employee 213"/>
    <x v="2"/>
    <s v="Financial Analyst"/>
    <d v="2022-01-01T00:00:00"/>
    <s v="Manager 213"/>
    <x v="3"/>
    <s v="Sweden"/>
    <s v="Full time"/>
    <s v="Level 2"/>
    <s v="G6"/>
    <n v="43261"/>
    <s v="Monthly"/>
    <n v="35000"/>
    <n v="40000"/>
    <n v="45000"/>
    <n v="1.0815250000000001"/>
    <s v="Above Mid"/>
    <x v="1"/>
    <n v="0.02"/>
    <n v="865.22"/>
    <n v="44126.22"/>
    <n v="0.1"/>
    <n v="4412.6220000000003"/>
    <n v="1"/>
    <n v="4412.6220000000003"/>
    <n v="0.32"/>
    <s v="B"/>
    <n v="15532.429440000002"/>
    <n v="2206.3110000000001"/>
    <n v="800"/>
    <n v="18538.740440000001"/>
    <n v="30000.101560000003"/>
  </r>
  <r>
    <n v="1214"/>
    <s v="Employee 214"/>
    <x v="1"/>
    <s v="HRBP"/>
    <d v="2022-01-01T00:00:00"/>
    <s v="Manager 214"/>
    <x v="3"/>
    <s v="Sweden"/>
    <s v="Full time"/>
    <s v="Level 3"/>
    <s v="G7"/>
    <n v="42000"/>
    <s v="Monthly"/>
    <n v="38000"/>
    <n v="50000"/>
    <n v="56000"/>
    <n v="0.84"/>
    <s v="Very Low"/>
    <x v="1"/>
    <n v="0.04"/>
    <n v="1680"/>
    <n v="43680"/>
    <n v="0.2"/>
    <n v="8736"/>
    <n v="1"/>
    <n v="8736"/>
    <n v="0.28999999999999998"/>
    <s v="C"/>
    <n v="15200.64"/>
    <n v="2184"/>
    <n v="1200"/>
    <n v="18584.64"/>
    <n v="33831.360000000001"/>
  </r>
  <r>
    <n v="1215"/>
    <s v="Employee 215"/>
    <x v="2"/>
    <s v="Financial Analyst"/>
    <d v="2022-01-01T00:00:00"/>
    <s v="Manager 215"/>
    <x v="3"/>
    <s v="Sweden"/>
    <s v="Full time"/>
    <s v="Level 2"/>
    <s v="G6"/>
    <n v="42000"/>
    <s v="Monthly"/>
    <n v="35000"/>
    <n v="40000"/>
    <n v="45000"/>
    <n v="1.05"/>
    <s v="Around Mid"/>
    <x v="1"/>
    <n v="2.5000000000000001E-2"/>
    <n v="1050"/>
    <n v="43050"/>
    <n v="0.1"/>
    <n v="4305"/>
    <n v="1"/>
    <n v="4305"/>
    <n v="0.27"/>
    <s v="A"/>
    <n v="12785.85"/>
    <n v="2152.5"/>
    <n v="500"/>
    <n v="15438.35"/>
    <n v="31916.65"/>
  </r>
  <r>
    <n v="1216"/>
    <s v="Employee 216"/>
    <x v="4"/>
    <s v="Senior Sales Specialist"/>
    <d v="2024-01-01T00:00:00"/>
    <s v="Manager 216"/>
    <x v="3"/>
    <s v="Sweden"/>
    <s v="Full time"/>
    <s v="Level 3"/>
    <s v="G7"/>
    <n v="42000"/>
    <s v="Monthly"/>
    <n v="38000"/>
    <n v="50000"/>
    <n v="56000"/>
    <n v="0.84"/>
    <s v="Very Low"/>
    <x v="1"/>
    <n v="0.04"/>
    <n v="1680"/>
    <n v="43680"/>
    <n v="0.15"/>
    <n v="6552"/>
    <n v="1"/>
    <n v="6552"/>
    <n v="0.3"/>
    <s v="C"/>
    <n v="15069.599999999999"/>
    <n v="2184"/>
    <n v="1200"/>
    <n v="18453.599999999999"/>
    <n v="31778.400000000001"/>
  </r>
  <r>
    <n v="1217"/>
    <s v="Employee 217"/>
    <x v="3"/>
    <s v="Marketing Manager"/>
    <d v="2020-01-01T00:00:00"/>
    <s v="Manager 217"/>
    <x v="5"/>
    <s v="Sweden"/>
    <s v="Full time"/>
    <s v="Level 4"/>
    <s v="G9"/>
    <n v="88313"/>
    <s v="Monthly"/>
    <n v="58000"/>
    <n v="75000"/>
    <n v="87000"/>
    <n v="1.1775066666666667"/>
    <s v="High"/>
    <x v="4"/>
    <n v="0"/>
    <n v="0"/>
    <n v="88313"/>
    <n v="0.2"/>
    <n v="17662.600000000002"/>
    <n v="0.5"/>
    <n v="8831.3000000000011"/>
    <n v="0.31"/>
    <s v="A"/>
    <n v="30114.733"/>
    <n v="4415.6500000000005"/>
    <n v="500"/>
    <n v="35030.383000000002"/>
    <n v="62113.917000000001"/>
  </r>
  <r>
    <n v="1218"/>
    <s v="Employee 218"/>
    <x v="0"/>
    <s v="IT Manager"/>
    <d v="2020-01-01T00:00:00"/>
    <s v="Manager 218"/>
    <x v="5"/>
    <s v="Sweden"/>
    <s v="Full time"/>
    <s v="Level 4"/>
    <s v="G9"/>
    <n v="88313"/>
    <s v="Monthly"/>
    <n v="58000"/>
    <n v="75000"/>
    <n v="87000"/>
    <n v="1.1775066666666667"/>
    <s v="High"/>
    <x v="4"/>
    <n v="0"/>
    <n v="0"/>
    <n v="88313"/>
    <n v="0.2"/>
    <n v="17662.600000000002"/>
    <n v="0.5"/>
    <n v="8831.3000000000011"/>
    <n v="0.31"/>
    <s v="A"/>
    <n v="30114.733"/>
    <n v="4415.6500000000005"/>
    <n v="500"/>
    <n v="35030.383000000002"/>
    <n v="62113.917000000001"/>
  </r>
  <r>
    <n v="1219"/>
    <s v="Employee 219"/>
    <x v="2"/>
    <s v="Senior Finance Specialist"/>
    <d v="2024-01-01T00:00:00"/>
    <s v="Manager 219"/>
    <x v="5"/>
    <s v="Sweden"/>
    <s v="Full time"/>
    <s v="Level 3"/>
    <s v="G7"/>
    <n v="42000"/>
    <s v="Monthly"/>
    <n v="38000"/>
    <n v="50000"/>
    <n v="56000"/>
    <n v="0.84"/>
    <s v="Very Low"/>
    <x v="4"/>
    <n v="0.02"/>
    <n v="840"/>
    <n v="42840"/>
    <n v="0.15"/>
    <n v="6426"/>
    <n v="0.5"/>
    <n v="3213"/>
    <n v="0.31"/>
    <s v="A"/>
    <n v="14276.43"/>
    <n v="2142"/>
    <n v="500"/>
    <n v="16918.43"/>
    <n v="29134.57"/>
  </r>
  <r>
    <n v="1220"/>
    <s v="Employee 220"/>
    <x v="0"/>
    <s v="IT Manager"/>
    <d v="2020-01-01T00:00:00"/>
    <s v="Manager 220"/>
    <x v="5"/>
    <s v="Sweden"/>
    <s v="Full time"/>
    <s v="Level 4"/>
    <s v="G9"/>
    <n v="88313"/>
    <s v="Monthly"/>
    <n v="58000"/>
    <n v="75000"/>
    <n v="87000"/>
    <n v="1.1775066666666667"/>
    <s v="High"/>
    <x v="4"/>
    <n v="0"/>
    <n v="0"/>
    <n v="88313"/>
    <n v="0.2"/>
    <n v="17662.600000000002"/>
    <n v="0.5"/>
    <n v="8831.3000000000011"/>
    <n v="0.32"/>
    <s v="A"/>
    <n v="31086.176000000003"/>
    <n v="4415.6500000000005"/>
    <n v="500"/>
    <n v="36001.826000000001"/>
    <n v="61142.474000000002"/>
  </r>
  <r>
    <n v="1221"/>
    <s v="Employee 221"/>
    <x v="2"/>
    <s v="Senior Finance Specialist"/>
    <d v="2024-01-01T00:00:00"/>
    <s v="Manager 221"/>
    <x v="5"/>
    <s v="Sweden"/>
    <s v="Full time"/>
    <s v="Level 3"/>
    <s v="G7"/>
    <n v="42000"/>
    <s v="Monthly"/>
    <n v="38000"/>
    <n v="50000"/>
    <n v="56000"/>
    <n v="0.84"/>
    <s v="Very Low"/>
    <x v="4"/>
    <n v="0.02"/>
    <n v="840"/>
    <n v="42840"/>
    <n v="0.15"/>
    <n v="6426"/>
    <n v="0.5"/>
    <n v="3213"/>
    <n v="0.28999999999999998"/>
    <s v="B"/>
    <n v="13355.369999999999"/>
    <n v="2142"/>
    <n v="800"/>
    <n v="16297.369999999999"/>
    <n v="29755.63"/>
  </r>
  <r>
    <n v="1222"/>
    <s v="Employee 222"/>
    <x v="1"/>
    <s v="HRBP"/>
    <d v="2022-01-01T00:00:00"/>
    <s v="Manager 222"/>
    <x v="5"/>
    <s v="Sweden"/>
    <s v="Full time"/>
    <s v="Level 3"/>
    <s v="G7"/>
    <n v="42000"/>
    <s v="Monthly"/>
    <n v="38000"/>
    <n v="50000"/>
    <n v="56000"/>
    <n v="0.84"/>
    <s v="Very Low"/>
    <x v="4"/>
    <n v="0.02"/>
    <n v="840"/>
    <n v="42840"/>
    <n v="0.2"/>
    <n v="8568"/>
    <n v="0.5"/>
    <n v="4284"/>
    <n v="0.32"/>
    <s v="A"/>
    <n v="15079.68"/>
    <n v="2142"/>
    <n v="500"/>
    <n v="17721.68"/>
    <n v="29402.32"/>
  </r>
  <r>
    <n v="1223"/>
    <s v="Employee 223"/>
    <x v="4"/>
    <s v="Senior Sales Specialist"/>
    <d v="2024-01-01T00:00:00"/>
    <s v="Manager 223"/>
    <x v="5"/>
    <s v="Sweden"/>
    <s v="Full time"/>
    <s v="Level 3"/>
    <s v="G7"/>
    <n v="44000"/>
    <s v="Monthly"/>
    <n v="38000"/>
    <n v="50000"/>
    <n v="56000"/>
    <n v="0.88"/>
    <s v="Below Mid"/>
    <x v="4"/>
    <n v="1.4999999999999999E-2"/>
    <n v="660"/>
    <n v="44660"/>
    <n v="0.15"/>
    <n v="6699"/>
    <n v="0.5"/>
    <n v="3349.5"/>
    <n v="0.32"/>
    <s v="B"/>
    <n v="15363.04"/>
    <n v="2233"/>
    <n v="800"/>
    <n v="18396.04"/>
    <n v="29613.46"/>
  </r>
  <r>
    <n v="1224"/>
    <s v="Employee 224"/>
    <x v="2"/>
    <s v="Senior Finance Specialist"/>
    <d v="2024-01-01T00:00:00"/>
    <s v="Manager 224"/>
    <x v="5"/>
    <s v="Sweden"/>
    <s v="Full time"/>
    <s v="Level 3"/>
    <s v="G7"/>
    <n v="44000"/>
    <s v="Monthly"/>
    <n v="38000"/>
    <n v="50000"/>
    <n v="56000"/>
    <n v="0.88"/>
    <s v="Below Mid"/>
    <x v="4"/>
    <n v="1.4999999999999999E-2"/>
    <n v="660"/>
    <n v="44660"/>
    <n v="0.15"/>
    <n v="6699"/>
    <n v="0.5"/>
    <n v="3349.5"/>
    <n v="0.32"/>
    <s v="C"/>
    <n v="15363.04"/>
    <n v="2233"/>
    <n v="1200"/>
    <n v="18796.04"/>
    <n v="29213.46"/>
  </r>
  <r>
    <n v="1225"/>
    <s v="Employee 225"/>
    <x v="5"/>
    <s v="Operations Manager"/>
    <d v="2020-01-01T00:00:00"/>
    <s v="Manager 225"/>
    <x v="5"/>
    <s v="Sweden"/>
    <s v="Full time"/>
    <s v="Level 4"/>
    <s v="G8"/>
    <n v="73100"/>
    <s v="Monthly"/>
    <n v="55000"/>
    <n v="75000"/>
    <n v="85000"/>
    <n v="0.97466666666666668"/>
    <s v="Around Mid"/>
    <x v="4"/>
    <n v="0.01"/>
    <n v="731"/>
    <n v="73831"/>
    <n v="0.2"/>
    <n v="14766.2"/>
    <n v="0.5"/>
    <n v="7383.1"/>
    <n v="0.31"/>
    <s v="A"/>
    <n v="25176.371000000003"/>
    <n v="3691.55"/>
    <n v="500"/>
    <n v="29367.921000000002"/>
    <n v="51846.179000000004"/>
  </r>
  <r>
    <n v="1226"/>
    <s v="Employee 226"/>
    <x v="5"/>
    <s v="Operations Manager"/>
    <d v="2020-01-01T00:00:00"/>
    <s v="Manager 226"/>
    <x v="5"/>
    <s v="Sweden"/>
    <s v="Full time"/>
    <s v="Level 4"/>
    <s v="G8"/>
    <n v="73100"/>
    <s v="Monthly"/>
    <n v="55000"/>
    <n v="75000"/>
    <n v="85000"/>
    <n v="0.97466666666666668"/>
    <s v="Around Mid"/>
    <x v="4"/>
    <n v="0.01"/>
    <n v="731"/>
    <n v="73831"/>
    <n v="0.2"/>
    <n v="14766.2"/>
    <n v="0.5"/>
    <n v="7383.1"/>
    <n v="0.32"/>
    <s v="A"/>
    <n v="25988.512000000002"/>
    <n v="3691.55"/>
    <n v="500"/>
    <n v="30180.062000000002"/>
    <n v="51034.038"/>
  </r>
  <r>
    <n v="1227"/>
    <s v="Employee 227"/>
    <x v="5"/>
    <s v="Operations Manager"/>
    <d v="2020-01-01T00:00:00"/>
    <s v="Manager 227"/>
    <x v="5"/>
    <s v="Sweden"/>
    <s v="Full time"/>
    <s v="Level 4"/>
    <s v="G8"/>
    <n v="73759"/>
    <s v="Monthly"/>
    <n v="55000"/>
    <n v="75000"/>
    <n v="85000"/>
    <n v="0.98345333333333329"/>
    <s v="Around Mid"/>
    <x v="4"/>
    <n v="0.01"/>
    <n v="737.59"/>
    <n v="74496.59"/>
    <n v="0.2"/>
    <n v="14899.317999999999"/>
    <n v="0.5"/>
    <n v="7449.6589999999997"/>
    <n v="0.32"/>
    <s v="C"/>
    <n v="26222.79968"/>
    <n v="3724.8294999999998"/>
    <n v="1200"/>
    <n v="31147.62918"/>
    <n v="50798.619819999993"/>
  </r>
  <r>
    <n v="1228"/>
    <s v="Employee 228"/>
    <x v="2"/>
    <s v="Senior Finance Specialist"/>
    <d v="2024-01-01T00:00:00"/>
    <s v="Manager 228"/>
    <x v="5"/>
    <s v="Sweden"/>
    <s v="Full time"/>
    <s v="Level 3"/>
    <s v="G7"/>
    <n v="44000"/>
    <s v="Monthly"/>
    <n v="38000"/>
    <n v="50000"/>
    <n v="56000"/>
    <n v="0.88"/>
    <s v="Below Mid"/>
    <x v="4"/>
    <n v="1.4999999999999999E-2"/>
    <n v="660"/>
    <n v="44660"/>
    <n v="0.15"/>
    <n v="6699"/>
    <n v="0.5"/>
    <n v="3349.5"/>
    <n v="0.3"/>
    <s v="B"/>
    <n v="14402.85"/>
    <n v="2233"/>
    <n v="800"/>
    <n v="17435.849999999999"/>
    <n v="30573.65"/>
  </r>
  <r>
    <n v="1229"/>
    <s v="Employee 229"/>
    <x v="2"/>
    <s v="Senior Finance Specialist"/>
    <d v="2024-01-01T00:00:00"/>
    <s v="Manager 229"/>
    <x v="5"/>
    <s v="Sweden"/>
    <s v="Full time"/>
    <s v="Level 3"/>
    <s v="G7"/>
    <n v="44000"/>
    <s v="Monthly"/>
    <n v="38000"/>
    <n v="50000"/>
    <n v="56000"/>
    <n v="0.88"/>
    <s v="Below Mid"/>
    <x v="4"/>
    <n v="1.4999999999999999E-2"/>
    <n v="660"/>
    <n v="44660"/>
    <n v="0.15"/>
    <n v="6699"/>
    <n v="0.5"/>
    <n v="3349.5"/>
    <n v="0.27"/>
    <s v="A"/>
    <n v="12962.565000000001"/>
    <n v="2233"/>
    <n v="500"/>
    <n v="15695.565000000001"/>
    <n v="32313.934999999998"/>
  </r>
  <r>
    <n v="1230"/>
    <s v="Employee 230"/>
    <x v="1"/>
    <s v="Senior HR Specialist"/>
    <d v="2024-01-01T00:00:00"/>
    <s v="Manager 230"/>
    <x v="5"/>
    <s v="Sweden"/>
    <s v="Full time"/>
    <s v="Level 3"/>
    <s v="G7"/>
    <n v="44000"/>
    <s v="Monthly"/>
    <n v="38000"/>
    <n v="50000"/>
    <n v="56000"/>
    <n v="0.88"/>
    <s v="Below Mid"/>
    <x v="4"/>
    <n v="1.4999999999999999E-2"/>
    <n v="660"/>
    <n v="44660"/>
    <n v="0.15"/>
    <n v="6699"/>
    <n v="0.5"/>
    <n v="3349.5"/>
    <n v="0.32"/>
    <s v="B"/>
    <n v="15363.04"/>
    <n v="2233"/>
    <n v="800"/>
    <n v="18396.04"/>
    <n v="29613.46"/>
  </r>
  <r>
    <n v="1231"/>
    <s v="Employee 231"/>
    <x v="1"/>
    <s v="Senior HR Specialist"/>
    <d v="2024-01-01T00:00:00"/>
    <s v="Manager 231"/>
    <x v="5"/>
    <s v="Sweden"/>
    <s v="Full time"/>
    <s v="Level 3"/>
    <s v="G7"/>
    <n v="44000"/>
    <s v="Monthly"/>
    <n v="38000"/>
    <n v="50000"/>
    <n v="56000"/>
    <n v="0.88"/>
    <s v="Below Mid"/>
    <x v="4"/>
    <n v="1.4999999999999999E-2"/>
    <n v="660"/>
    <n v="44660"/>
    <n v="0.15"/>
    <n v="6699"/>
    <n v="0.5"/>
    <n v="3349.5"/>
    <n v="0.3"/>
    <s v="B"/>
    <n v="14402.85"/>
    <n v="2233"/>
    <n v="800"/>
    <n v="17435.849999999999"/>
    <n v="30573.65"/>
  </r>
  <r>
    <n v="1232"/>
    <s v="Employee 232"/>
    <x v="3"/>
    <s v="Marketing Manager"/>
    <d v="2020-01-01T00:00:00"/>
    <s v="Manager 232"/>
    <x v="5"/>
    <s v="Sweden"/>
    <s v="Full time"/>
    <s v="Level 4"/>
    <s v="G9"/>
    <n v="88313"/>
    <s v="Monthly"/>
    <n v="58000"/>
    <n v="75000"/>
    <n v="87000"/>
    <n v="1.1775066666666667"/>
    <s v="High"/>
    <x v="4"/>
    <n v="0"/>
    <n v="0"/>
    <n v="88313"/>
    <n v="0.2"/>
    <n v="17662.600000000002"/>
    <n v="0.5"/>
    <n v="8831.3000000000011"/>
    <n v="0.32"/>
    <s v="A"/>
    <n v="31086.176000000003"/>
    <n v="4415.6500000000005"/>
    <n v="500"/>
    <n v="36001.826000000001"/>
    <n v="61142.474000000002"/>
  </r>
  <r>
    <n v="1233"/>
    <s v="Employee 233"/>
    <x v="0"/>
    <s v="IT Manager"/>
    <d v="2020-01-01T00:00:00"/>
    <s v="Manager 233"/>
    <x v="5"/>
    <s v="Sweden"/>
    <s v="Full time"/>
    <s v="Level 4"/>
    <s v="G9"/>
    <n v="88313"/>
    <s v="Monthly"/>
    <n v="58000"/>
    <n v="75000"/>
    <n v="87000"/>
    <n v="1.1775066666666667"/>
    <s v="High"/>
    <x v="4"/>
    <n v="0"/>
    <n v="0"/>
    <n v="88313"/>
    <n v="0.2"/>
    <n v="17662.600000000002"/>
    <n v="0.5"/>
    <n v="8831.3000000000011"/>
    <n v="0.32"/>
    <s v="C"/>
    <n v="31086.176000000003"/>
    <n v="4415.6500000000005"/>
    <n v="1200"/>
    <n v="36701.826000000001"/>
    <n v="60442.474000000002"/>
  </r>
  <r>
    <n v="1234"/>
    <s v="Employee 234"/>
    <x v="4"/>
    <s v="Head of Sales"/>
    <d v="2018-01-01T00:00:00"/>
    <s v="CEO"/>
    <x v="5"/>
    <s v="Sweden"/>
    <s v="Full time"/>
    <s v="Level 8"/>
    <s v="G10"/>
    <n v="95656"/>
    <s v="Monthly"/>
    <n v="66959"/>
    <n v="95656"/>
    <n v="124353"/>
    <n v="1"/>
    <s v="Around Mid"/>
    <x v="2"/>
    <n v="0.06"/>
    <n v="5739.36"/>
    <n v="101395.36"/>
    <n v="0.25"/>
    <n v="25348.84"/>
    <n v="1.5"/>
    <n v="38023.26"/>
    <n v="0.3"/>
    <s v="A"/>
    <n v="41825.585999999996"/>
    <n v="5069.768"/>
    <n v="500"/>
    <n v="47395.353999999992"/>
    <n v="92023.266000000003"/>
  </r>
  <r>
    <n v="1235"/>
    <s v="Employee 235"/>
    <x v="2"/>
    <s v="Senior Finance Specialist"/>
    <d v="2024-01-01T00:00:00"/>
    <s v="Manager 235"/>
    <x v="5"/>
    <s v="Sweden"/>
    <s v="Full time"/>
    <s v="Level 3"/>
    <s v="G7"/>
    <n v="44000"/>
    <s v="Monthly"/>
    <n v="38000"/>
    <n v="50000"/>
    <n v="56000"/>
    <n v="0.88"/>
    <s v="Below Mid"/>
    <x v="4"/>
    <n v="1.4999999999999999E-2"/>
    <n v="660"/>
    <n v="44660"/>
    <n v="0.15"/>
    <n v="6699"/>
    <n v="0.5"/>
    <n v="3349.5"/>
    <n v="0.31"/>
    <s v="B"/>
    <n v="14882.945"/>
    <n v="2233"/>
    <n v="800"/>
    <n v="17915.945"/>
    <n v="30093.555"/>
  </r>
  <r>
    <n v="1236"/>
    <s v="Employee 236"/>
    <x v="0"/>
    <s v="IT Manager"/>
    <d v="2020-01-01T00:00:00"/>
    <s v="Manager 236"/>
    <x v="5"/>
    <s v="Sweden"/>
    <s v="Full time"/>
    <s v="Level 4"/>
    <s v="G9"/>
    <n v="88313"/>
    <s v="Monthly"/>
    <n v="58000"/>
    <n v="75000"/>
    <n v="87000"/>
    <n v="1.1775066666666667"/>
    <s v="High"/>
    <x v="4"/>
    <n v="0"/>
    <n v="0"/>
    <n v="88313"/>
    <n v="0.2"/>
    <n v="17662.600000000002"/>
    <n v="0.5"/>
    <n v="8831.3000000000011"/>
    <n v="0.31"/>
    <s v="C"/>
    <n v="30114.733"/>
    <n v="4415.6500000000005"/>
    <n v="1200"/>
    <n v="35730.383000000002"/>
    <n v="61413.917000000001"/>
  </r>
  <r>
    <n v="1237"/>
    <s v="Employee 237"/>
    <x v="5"/>
    <s v="Operations Manager"/>
    <d v="2020-01-01T00:00:00"/>
    <s v="Manager 237"/>
    <x v="5"/>
    <s v="Sweden"/>
    <s v="Full time"/>
    <s v="Level 4"/>
    <s v="G8"/>
    <n v="76147"/>
    <s v="Monthly"/>
    <n v="55000"/>
    <n v="75000"/>
    <n v="85000"/>
    <n v="1.0152933333333334"/>
    <s v="Around Mid"/>
    <x v="4"/>
    <n v="0.01"/>
    <n v="761.47"/>
    <n v="76908.47"/>
    <n v="0.2"/>
    <n v="15381.694000000001"/>
    <n v="0.5"/>
    <n v="7690.8470000000007"/>
    <n v="0.3"/>
    <s v="A"/>
    <n v="25379.795099999999"/>
    <n v="3845.4235000000003"/>
    <n v="500"/>
    <n v="29725.2186"/>
    <n v="54874.098399999995"/>
  </r>
  <r>
    <n v="1238"/>
    <s v="Employee 238"/>
    <x v="2"/>
    <s v="Senior Finance Specialist"/>
    <d v="2024-01-01T00:00:00"/>
    <s v="Manager 238"/>
    <x v="5"/>
    <s v="Sweden"/>
    <s v="Full time"/>
    <s v="Level 3"/>
    <s v="G7"/>
    <n v="44000"/>
    <s v="Monthly"/>
    <n v="38000"/>
    <n v="50000"/>
    <n v="56000"/>
    <n v="0.88"/>
    <s v="Below Mid"/>
    <x v="4"/>
    <n v="1.4999999999999999E-2"/>
    <n v="660"/>
    <n v="44660"/>
    <n v="0.15"/>
    <n v="6699"/>
    <n v="0.5"/>
    <n v="3349.5"/>
    <n v="0.28000000000000003"/>
    <s v="C"/>
    <n v="13442.660000000002"/>
    <n v="2233"/>
    <n v="1200"/>
    <n v="16875.660000000003"/>
    <n v="31133.839999999997"/>
  </r>
  <r>
    <n v="1239"/>
    <s v="Employee 239"/>
    <x v="5"/>
    <s v="Operations Manager"/>
    <d v="2020-01-01T00:00:00"/>
    <s v="Manager 239"/>
    <x v="5"/>
    <s v="Sweden"/>
    <s v="Full time"/>
    <s v="Level 4"/>
    <s v="G8"/>
    <n v="76147"/>
    <s v="Monthly"/>
    <n v="55000"/>
    <n v="75000"/>
    <n v="85000"/>
    <n v="1.0152933333333334"/>
    <s v="Around Mid"/>
    <x v="4"/>
    <n v="0.01"/>
    <n v="761.47"/>
    <n v="76908.47"/>
    <n v="0.2"/>
    <n v="15381.694000000001"/>
    <n v="0.5"/>
    <n v="7690.8470000000007"/>
    <n v="0.32"/>
    <s v="B"/>
    <n v="27071.781439999999"/>
    <n v="3845.4235000000003"/>
    <n v="800"/>
    <n v="31717.20494"/>
    <n v="52882.112059999999"/>
  </r>
  <r>
    <n v="1240"/>
    <s v="Employee 240"/>
    <x v="2"/>
    <s v="Senior Finance Specialist"/>
    <d v="2024-01-01T00:00:00"/>
    <s v="Manager 240"/>
    <x v="5"/>
    <s v="Sweden"/>
    <s v="Full time"/>
    <s v="Level 3"/>
    <s v="G7"/>
    <n v="44000"/>
    <s v="Monthly"/>
    <n v="38000"/>
    <n v="50000"/>
    <n v="56000"/>
    <n v="0.88"/>
    <s v="Below Mid"/>
    <x v="4"/>
    <n v="1.4999999999999999E-2"/>
    <n v="660"/>
    <n v="44660"/>
    <n v="0.15"/>
    <n v="6699"/>
    <n v="0.5"/>
    <n v="3349.5"/>
    <n v="0.27"/>
    <s v="B"/>
    <n v="12962.565000000001"/>
    <n v="2233"/>
    <n v="800"/>
    <n v="15995.565000000001"/>
    <n v="32013.934999999998"/>
  </r>
  <r>
    <n v="1241"/>
    <s v="Employee 241"/>
    <x v="5"/>
    <s v="Operations Manager"/>
    <d v="2020-01-01T00:00:00"/>
    <s v="Manager 241"/>
    <x v="5"/>
    <s v="Sweden"/>
    <s v="Full time"/>
    <s v="Level 4"/>
    <s v="G8"/>
    <n v="76147"/>
    <s v="Monthly"/>
    <n v="55000"/>
    <n v="75000"/>
    <n v="85000"/>
    <n v="1.0152933333333334"/>
    <s v="Around Mid"/>
    <x v="4"/>
    <n v="0.01"/>
    <n v="761.47"/>
    <n v="76908.47"/>
    <n v="0.2"/>
    <n v="15381.694000000001"/>
    <n v="0.5"/>
    <n v="7690.8470000000007"/>
    <n v="0.31"/>
    <s v="C"/>
    <n v="26225.788269999997"/>
    <n v="3845.4235000000003"/>
    <n v="1200"/>
    <n v="31271.211769999998"/>
    <n v="53328.105230000001"/>
  </r>
  <r>
    <n v="1242"/>
    <s v="Employee 242"/>
    <x v="0"/>
    <s v="IT Manager"/>
    <d v="2020-01-01T00:00:00"/>
    <s v="Manager 242"/>
    <x v="5"/>
    <s v="Sweden"/>
    <s v="Full time"/>
    <s v="Level 4"/>
    <s v="G9"/>
    <n v="88313"/>
    <s v="Monthly"/>
    <n v="58000"/>
    <n v="75000"/>
    <n v="87000"/>
    <n v="1.1775066666666667"/>
    <s v="High"/>
    <x v="4"/>
    <n v="0"/>
    <n v="0"/>
    <n v="88313"/>
    <n v="0.2"/>
    <n v="17662.600000000002"/>
    <n v="0.5"/>
    <n v="8831.3000000000011"/>
    <n v="0.32"/>
    <s v="A"/>
    <n v="31086.176000000003"/>
    <n v="4415.6500000000005"/>
    <n v="500"/>
    <n v="36001.826000000001"/>
    <n v="61142.474000000002"/>
  </r>
  <r>
    <n v="1243"/>
    <s v="Employee 243"/>
    <x v="1"/>
    <s v="Senior HR Specialist"/>
    <d v="2024-01-01T00:00:00"/>
    <s v="Manager 243"/>
    <x v="5"/>
    <s v="Sweden"/>
    <s v="Full time"/>
    <s v="Level 3"/>
    <s v="G7"/>
    <n v="44000"/>
    <s v="Monthly"/>
    <n v="38000"/>
    <n v="50000"/>
    <n v="56000"/>
    <n v="0.88"/>
    <s v="Below Mid"/>
    <x v="4"/>
    <n v="1.4999999999999999E-2"/>
    <n v="660"/>
    <n v="44660"/>
    <n v="0.15"/>
    <n v="6699"/>
    <n v="0.5"/>
    <n v="3349.5"/>
    <n v="0.28999999999999998"/>
    <s v="B"/>
    <n v="13922.754999999999"/>
    <n v="2233"/>
    <n v="800"/>
    <n v="16955.754999999997"/>
    <n v="31053.745000000003"/>
  </r>
  <r>
    <n v="1244"/>
    <s v="Employee 244"/>
    <x v="5"/>
    <s v="Operations Manager"/>
    <d v="2020-01-01T00:00:00"/>
    <s v="Manager 244"/>
    <x v="5"/>
    <s v="Sweden"/>
    <s v="Full time"/>
    <s v="Level 4"/>
    <s v="G8"/>
    <n v="76147"/>
    <s v="Monthly"/>
    <n v="55000"/>
    <n v="75000"/>
    <n v="85000"/>
    <n v="1.0152933333333334"/>
    <s v="Around Mid"/>
    <x v="4"/>
    <n v="0.01"/>
    <n v="761.47"/>
    <n v="76908.47"/>
    <n v="0.2"/>
    <n v="15381.694000000001"/>
    <n v="0.5"/>
    <n v="7690.8470000000007"/>
    <n v="0.31"/>
    <s v="C"/>
    <n v="26225.788269999997"/>
    <n v="3845.4235000000003"/>
    <n v="1200"/>
    <n v="31271.211769999998"/>
    <n v="53328.105230000001"/>
  </r>
  <r>
    <n v="1245"/>
    <s v="Employee 245"/>
    <x v="3"/>
    <s v="Head of Marketing"/>
    <d v="2018-01-01T00:00:00"/>
    <s v="CEO"/>
    <x v="5"/>
    <s v="Sweden"/>
    <s v="Full time"/>
    <s v="Level 8"/>
    <s v="G10"/>
    <n v="95656"/>
    <s v="Monthly"/>
    <n v="66959"/>
    <n v="95656"/>
    <n v="124353"/>
    <n v="1"/>
    <s v="Around Mid"/>
    <x v="2"/>
    <n v="0.06"/>
    <n v="5739.36"/>
    <n v="101395.36"/>
    <n v="0.25"/>
    <n v="25348.84"/>
    <n v="1.5"/>
    <n v="38023.26"/>
    <n v="0.32"/>
    <s v="A"/>
    <n v="44613.958399999996"/>
    <n v="5069.768"/>
    <n v="500"/>
    <n v="50183.7264"/>
    <n v="89234.893599999996"/>
  </r>
  <r>
    <n v="1246"/>
    <s v="Employee 246"/>
    <x v="5"/>
    <s v="Head of Operations"/>
    <d v="2018-01-01T00:00:00"/>
    <s v="CEO"/>
    <x v="5"/>
    <s v="Sweden"/>
    <s v="Full time"/>
    <s v="Level 8"/>
    <s v="G10"/>
    <n v="95656"/>
    <s v="Monthly"/>
    <n v="66959"/>
    <n v="95656"/>
    <n v="124353"/>
    <n v="1"/>
    <s v="Around Mid"/>
    <x v="2"/>
    <n v="0.06"/>
    <n v="5739.36"/>
    <n v="101395.36"/>
    <n v="0.25"/>
    <n v="25348.84"/>
    <n v="1.5"/>
    <n v="38023.26"/>
    <n v="0.32"/>
    <s v="B"/>
    <n v="44613.958399999996"/>
    <n v="5069.768"/>
    <n v="800"/>
    <n v="50483.7264"/>
    <n v="88934.893599999996"/>
  </r>
  <r>
    <n v="1247"/>
    <s v="Employee 247"/>
    <x v="2"/>
    <s v="CFO"/>
    <d v="2018-01-01T00:00:00"/>
    <s v="CEO"/>
    <x v="5"/>
    <s v="Sweden"/>
    <s v="Full time"/>
    <s v="Level 8"/>
    <s v="G10"/>
    <n v="95656"/>
    <s v="Monthly"/>
    <n v="66959"/>
    <n v="95656"/>
    <n v="124353"/>
    <n v="1"/>
    <s v="Around Mid"/>
    <x v="2"/>
    <n v="0.06"/>
    <n v="5739.36"/>
    <n v="101395.36"/>
    <n v="0.25"/>
    <n v="25348.84"/>
    <n v="1.5"/>
    <n v="38023.26"/>
    <n v="0.32"/>
    <s v="A"/>
    <n v="44613.958399999996"/>
    <n v="5069.768"/>
    <n v="500"/>
    <n v="50183.7264"/>
    <n v="89234.893599999996"/>
  </r>
  <r>
    <n v="1248"/>
    <s v="Employee 248"/>
    <x v="1"/>
    <s v="Senior HR Specialist"/>
    <d v="2024-01-01T00:00:00"/>
    <s v="Manager 248"/>
    <x v="5"/>
    <s v="Sweden"/>
    <s v="Full time"/>
    <s v="Level 3"/>
    <s v="G7"/>
    <n v="44000"/>
    <s v="Monthly"/>
    <n v="38000"/>
    <n v="50000"/>
    <n v="56000"/>
    <n v="0.88"/>
    <s v="Below Mid"/>
    <x v="1"/>
    <n v="0.03"/>
    <n v="1320"/>
    <n v="45320"/>
    <n v="0.15"/>
    <n v="6798"/>
    <n v="1"/>
    <n v="6798"/>
    <n v="0.27"/>
    <s v="A"/>
    <n v="14071.86"/>
    <n v="2266"/>
    <n v="500"/>
    <n v="16837.86"/>
    <n v="35280.14"/>
  </r>
  <r>
    <n v="1249"/>
    <s v="Employee 249"/>
    <x v="1"/>
    <s v="CHRO"/>
    <d v="2018-01-01T00:00:00"/>
    <s v="CEO"/>
    <x v="5"/>
    <s v="Sweden"/>
    <s v="Full time"/>
    <s v="Level 8"/>
    <s v="G10"/>
    <n v="95656"/>
    <s v="Monthly"/>
    <n v="66959"/>
    <n v="95656"/>
    <n v="124353"/>
    <n v="1"/>
    <s v="Around Mid"/>
    <x v="2"/>
    <n v="0.06"/>
    <n v="5739.36"/>
    <n v="101395.36"/>
    <n v="0.25"/>
    <n v="25348.84"/>
    <n v="1.5"/>
    <n v="38023.26"/>
    <n v="0.32"/>
    <s v="B"/>
    <n v="44613.958399999996"/>
    <n v="5069.768"/>
    <n v="800"/>
    <n v="50483.7264"/>
    <n v="88934.893599999996"/>
  </r>
  <r>
    <n v="1250"/>
    <s v="Employee 250"/>
    <x v="0"/>
    <s v="Head of IT"/>
    <d v="2018-01-01T00:00:00"/>
    <s v="CEO"/>
    <x v="5"/>
    <s v="Sweden"/>
    <s v="Full time"/>
    <s v="Level 8"/>
    <s v="G10"/>
    <n v="95656"/>
    <s v="Monthly"/>
    <n v="66959"/>
    <n v="95656"/>
    <n v="124353"/>
    <n v="1"/>
    <s v="Around Mid"/>
    <x v="2"/>
    <n v="0.06"/>
    <n v="5739.36"/>
    <n v="101395.36"/>
    <n v="0.25"/>
    <n v="25348.84"/>
    <n v="1.5"/>
    <n v="38023.26"/>
    <n v="0.32"/>
    <s v="A"/>
    <n v="44613.958399999996"/>
    <n v="5069.768"/>
    <n v="500"/>
    <n v="50183.7264"/>
    <n v="89234.8935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414E4F-F7EA-1046-9F4C-3B7DC5ECB3FA}" name="PivotTable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G38" firstHeaderRow="0" firstDataRow="1" firstDataCol="1" rowPageCount="1" colPageCount="1"/>
  <pivotFields count="35">
    <pivotField showAll="0"/>
    <pivotField dataField="1" showAll="0"/>
    <pivotField axis="axisRow" showAll="0">
      <items count="7">
        <item x="2"/>
        <item x="1"/>
        <item x="0"/>
        <item x="3"/>
        <item x="5"/>
        <item x="4"/>
        <item t="default"/>
      </items>
    </pivotField>
    <pivotField showAll="0"/>
    <pivotField numFmtId="14" showAll="0"/>
    <pivotField showAll="0"/>
    <pivotField axis="axisPage" showAll="0">
      <items count="7">
        <item x="2"/>
        <item x="3"/>
        <item x="0"/>
        <item x="4"/>
        <item x="1"/>
        <item x="5"/>
        <item t="default"/>
      </items>
    </pivotField>
    <pivotField showAll="0"/>
    <pivotField showAll="0"/>
    <pivotField showAll="0"/>
    <pivotField showAll="0"/>
    <pivotField dataField="1" numFmtId="3" showAll="0"/>
    <pivotField showAll="0"/>
    <pivotField numFmtId="3" showAll="0"/>
    <pivotField numFmtId="3" showAll="0"/>
    <pivotField numFmtId="3" showAll="0"/>
    <pivotField numFmtId="4" showAll="0"/>
    <pivotField showAll="0"/>
    <pivotField axis="axisRow" numFmtId="3" showAll="0">
      <items count="6">
        <item x="3"/>
        <item x="4"/>
        <item x="1"/>
        <item x="0"/>
        <item x="2"/>
        <item t="default"/>
      </items>
    </pivotField>
    <pivotField numFmtId="164" showAll="0"/>
    <pivotField numFmtId="4" showAll="0"/>
    <pivotField dataField="1" numFmtId="3" showAll="0"/>
    <pivotField numFmtId="9" showAll="0"/>
    <pivotField numFmtId="3" showAll="0"/>
    <pivotField numFmtId="165" showAll="0"/>
    <pivotField numFmtId="3" showAll="0"/>
    <pivotField numFmtId="9" showAll="0"/>
    <pivotField showAll="0"/>
    <pivotField numFmtId="4" showAll="0"/>
    <pivotField showAll="0"/>
    <pivotField showAll="0"/>
    <pivotField showAll="0"/>
    <pivotField numFmtId="4" showAll="0"/>
    <pivotField dragToRow="0" dragToCol="0" dragToPage="0" showAll="0" defaultSubtotal="0"/>
    <pivotField dataField="1" dragToRow="0" dragToCol="0" dragToPage="0" showAll="0" defaultSubtotal="0"/>
  </pivotFields>
  <rowFields count="2">
    <field x="2"/>
    <field x="18"/>
  </rowFields>
  <rowItems count="34">
    <i>
      <x/>
    </i>
    <i r="1">
      <x/>
    </i>
    <i r="1">
      <x v="1"/>
    </i>
    <i r="1">
      <x v="2"/>
    </i>
    <i r="1">
      <x v="3"/>
    </i>
    <i r="1">
      <x v="4"/>
    </i>
    <i>
      <x v="1"/>
    </i>
    <i r="1">
      <x v="1"/>
    </i>
    <i r="1">
      <x v="2"/>
    </i>
    <i r="1">
      <x v="3"/>
    </i>
    <i r="1">
      <x v="4"/>
    </i>
    <i>
      <x v="2"/>
    </i>
    <i r="1">
      <x v="1"/>
    </i>
    <i r="1">
      <x v="2"/>
    </i>
    <i r="1">
      <x v="3"/>
    </i>
    <i r="1">
      <x v="4"/>
    </i>
    <i>
      <x v="3"/>
    </i>
    <i r="1">
      <x/>
    </i>
    <i r="1">
      <x v="1"/>
    </i>
    <i r="1">
      <x v="2"/>
    </i>
    <i r="1">
      <x v="3"/>
    </i>
    <i r="1">
      <x v="4"/>
    </i>
    <i>
      <x v="4"/>
    </i>
    <i r="1">
      <x v="1"/>
    </i>
    <i r="1">
      <x v="2"/>
    </i>
    <i r="1">
      <x v="3"/>
    </i>
    <i r="1">
      <x v="4"/>
    </i>
    <i>
      <x v="5"/>
    </i>
    <i r="1">
      <x/>
    </i>
    <i r="1">
      <x v="1"/>
    </i>
    <i r="1">
      <x v="2"/>
    </i>
    <i r="1">
      <x v="3"/>
    </i>
    <i r="1">
      <x v="4"/>
    </i>
    <i t="grand">
      <x/>
    </i>
  </rowItems>
  <colFields count="1">
    <field x="-2"/>
  </colFields>
  <colItems count="6">
    <i>
      <x/>
    </i>
    <i i="1">
      <x v="1"/>
    </i>
    <i i="2">
      <x v="2"/>
    </i>
    <i i="3">
      <x v="3"/>
    </i>
    <i i="4">
      <x v="4"/>
    </i>
    <i i="5">
      <x v="5"/>
    </i>
  </colItems>
  <pageFields count="1">
    <pageField fld="6" hier="-1"/>
  </pageFields>
  <dataFields count="6">
    <dataField name="Number of Employee" fld="1" subtotal="count" baseField="0" baseItem="0"/>
    <dataField name="Average Gross Salary (2025)" fld="11" subtotal="average" baseField="0" baseItem="0" numFmtId="3"/>
    <dataField name="Average Gross Salary (2026)" fld="21" subtotal="average" baseField="0" baseItem="0" numFmtId="3"/>
    <dataField name="Sum of Gross Salary (2025)" fld="11" baseField="0" baseItem="0" numFmtId="3"/>
    <dataField name="Sum of Gross Salary (2026)" fld="21" baseField="0" baseItem="0" numFmtId="3"/>
    <dataField name="Sum of % Budget Increase" fld="34" baseField="0" baseItem="0" numFmtId="10"/>
  </dataFields>
  <formats count="37">
    <format dxfId="64">
      <pivotArea dataOnly="0" labelOnly="1" outline="0" fieldPosition="0">
        <references count="1">
          <reference field="4294967294" count="3">
            <x v="0"/>
            <x v="1"/>
            <x v="2"/>
          </reference>
        </references>
      </pivotArea>
    </format>
    <format dxfId="63">
      <pivotArea dataOnly="0" labelOnly="1" outline="0" fieldPosition="0">
        <references count="1">
          <reference field="4294967294" count="3">
            <x v="0"/>
            <x v="1"/>
            <x v="2"/>
          </reference>
        </references>
      </pivotArea>
    </format>
    <format dxfId="62">
      <pivotArea dataOnly="0" labelOnly="1" outline="0" fieldPosition="0">
        <references count="1">
          <reference field="4294967294" count="2">
            <x v="3"/>
            <x v="4"/>
          </reference>
        </references>
      </pivotArea>
    </format>
    <format dxfId="61">
      <pivotArea dataOnly="0" labelOnly="1" outline="0" fieldPosition="0">
        <references count="1">
          <reference field="4294967294" count="2">
            <x v="3"/>
            <x v="4"/>
          </reference>
        </references>
      </pivotArea>
    </format>
    <format dxfId="60">
      <pivotArea dataOnly="0" labelOnly="1" outline="0" fieldPosition="0">
        <references count="1">
          <reference field="4294967294" count="5">
            <x v="0"/>
            <x v="1"/>
            <x v="2"/>
            <x v="3"/>
            <x v="4"/>
          </reference>
        </references>
      </pivotArea>
    </format>
    <format dxfId="59">
      <pivotArea field="2" type="button" dataOnly="0" labelOnly="1" outline="0" axis="axisRow" fieldPosition="0"/>
    </format>
    <format dxfId="58">
      <pivotArea dataOnly="0" labelOnly="1" outline="0" fieldPosition="0">
        <references count="1">
          <reference field="4294967294" count="5">
            <x v="0"/>
            <x v="1"/>
            <x v="2"/>
            <x v="3"/>
            <x v="4"/>
          </reference>
        </references>
      </pivotArea>
    </format>
    <format dxfId="57">
      <pivotArea field="2" type="button" dataOnly="0" labelOnly="1" outline="0" axis="axisRow" fieldPosition="0"/>
    </format>
    <format dxfId="56">
      <pivotArea dataOnly="0" labelOnly="1" outline="0" fieldPosition="0">
        <references count="1">
          <reference field="4294967294" count="5">
            <x v="0"/>
            <x v="1"/>
            <x v="2"/>
            <x v="3"/>
            <x v="4"/>
          </reference>
        </references>
      </pivotArea>
    </format>
    <format dxfId="55">
      <pivotArea outline="0" collapsedLevelsAreSubtotals="1" fieldPosition="0">
        <references count="1">
          <reference field="4294967294" count="1" selected="0">
            <x v="5"/>
          </reference>
        </references>
      </pivotArea>
    </format>
    <format dxfId="54">
      <pivotArea dataOnly="0" labelOnly="1" outline="0" fieldPosition="0">
        <references count="1">
          <reference field="4294967294" count="1">
            <x v="5"/>
          </reference>
        </references>
      </pivotArea>
    </format>
    <format dxfId="53">
      <pivotArea dataOnly="0" labelOnly="1" outline="0" fieldPosition="0">
        <references count="1">
          <reference field="4294967294" count="1">
            <x v="5"/>
          </reference>
        </references>
      </pivotArea>
    </format>
    <format dxfId="52">
      <pivotArea type="all" dataOnly="0" outline="0" fieldPosition="0"/>
    </format>
    <format dxfId="51">
      <pivotArea outline="0" collapsedLevelsAreSubtotals="1" fieldPosition="0"/>
    </format>
    <format dxfId="50">
      <pivotArea field="2" type="button" dataOnly="0" labelOnly="1" outline="0" axis="axisRow" fieldPosition="0"/>
    </format>
    <format dxfId="49">
      <pivotArea dataOnly="0" labelOnly="1" fieldPosition="0">
        <references count="1">
          <reference field="2" count="0"/>
        </references>
      </pivotArea>
    </format>
    <format dxfId="48">
      <pivotArea dataOnly="0" labelOnly="1" grandRow="1" outline="0" fieldPosition="0"/>
    </format>
    <format dxfId="47">
      <pivotArea dataOnly="0" labelOnly="1" fieldPosition="0">
        <references count="2">
          <reference field="2" count="1" selected="0">
            <x v="0"/>
          </reference>
          <reference field="18" count="0"/>
        </references>
      </pivotArea>
    </format>
    <format dxfId="46">
      <pivotArea dataOnly="0" labelOnly="1" fieldPosition="0">
        <references count="2">
          <reference field="2" count="1" selected="0">
            <x v="1"/>
          </reference>
          <reference field="18" count="4">
            <x v="1"/>
            <x v="2"/>
            <x v="3"/>
            <x v="4"/>
          </reference>
        </references>
      </pivotArea>
    </format>
    <format dxfId="45">
      <pivotArea dataOnly="0" labelOnly="1" fieldPosition="0">
        <references count="2">
          <reference field="2" count="1" selected="0">
            <x v="2"/>
          </reference>
          <reference field="18" count="4">
            <x v="1"/>
            <x v="2"/>
            <x v="3"/>
            <x v="4"/>
          </reference>
        </references>
      </pivotArea>
    </format>
    <format dxfId="44">
      <pivotArea dataOnly="0" labelOnly="1" fieldPosition="0">
        <references count="2">
          <reference field="2" count="1" selected="0">
            <x v="3"/>
          </reference>
          <reference field="18" count="0"/>
        </references>
      </pivotArea>
    </format>
    <format dxfId="43">
      <pivotArea dataOnly="0" labelOnly="1" fieldPosition="0">
        <references count="2">
          <reference field="2" count="1" selected="0">
            <x v="4"/>
          </reference>
          <reference field="18" count="4">
            <x v="1"/>
            <x v="2"/>
            <x v="3"/>
            <x v="4"/>
          </reference>
        </references>
      </pivotArea>
    </format>
    <format dxfId="42">
      <pivotArea dataOnly="0" labelOnly="1" fieldPosition="0">
        <references count="2">
          <reference field="2" count="1" selected="0">
            <x v="5"/>
          </reference>
          <reference field="18" count="0"/>
        </references>
      </pivotArea>
    </format>
    <format dxfId="41">
      <pivotArea dataOnly="0" labelOnly="1" outline="0" fieldPosition="0">
        <references count="1">
          <reference field="4294967294" count="6">
            <x v="0"/>
            <x v="1"/>
            <x v="2"/>
            <x v="3"/>
            <x v="4"/>
            <x v="5"/>
          </reference>
        </references>
      </pivotArea>
    </format>
    <format dxfId="40">
      <pivotArea type="all" dataOnly="0" outline="0" fieldPosition="0"/>
    </format>
    <format dxfId="39">
      <pivotArea outline="0" collapsedLevelsAreSubtotals="1" fieldPosition="0"/>
    </format>
    <format dxfId="38">
      <pivotArea field="2" type="button" dataOnly="0" labelOnly="1" outline="0" axis="axisRow" fieldPosition="0"/>
    </format>
    <format dxfId="37">
      <pivotArea dataOnly="0" labelOnly="1" fieldPosition="0">
        <references count="1">
          <reference field="2" count="0"/>
        </references>
      </pivotArea>
    </format>
    <format dxfId="36">
      <pivotArea dataOnly="0" labelOnly="1" grandRow="1" outline="0" fieldPosition="0"/>
    </format>
    <format dxfId="35">
      <pivotArea dataOnly="0" labelOnly="1" fieldPosition="0">
        <references count="2">
          <reference field="2" count="1" selected="0">
            <x v="0"/>
          </reference>
          <reference field="18" count="0"/>
        </references>
      </pivotArea>
    </format>
    <format dxfId="34">
      <pivotArea dataOnly="0" labelOnly="1" fieldPosition="0">
        <references count="2">
          <reference field="2" count="1" selected="0">
            <x v="1"/>
          </reference>
          <reference field="18" count="4">
            <x v="1"/>
            <x v="2"/>
            <x v="3"/>
            <x v="4"/>
          </reference>
        </references>
      </pivotArea>
    </format>
    <format dxfId="33">
      <pivotArea dataOnly="0" labelOnly="1" fieldPosition="0">
        <references count="2">
          <reference field="2" count="1" selected="0">
            <x v="2"/>
          </reference>
          <reference field="18" count="4">
            <x v="1"/>
            <x v="2"/>
            <x v="3"/>
            <x v="4"/>
          </reference>
        </references>
      </pivotArea>
    </format>
    <format dxfId="32">
      <pivotArea dataOnly="0" labelOnly="1" fieldPosition="0">
        <references count="2">
          <reference field="2" count="1" selected="0">
            <x v="3"/>
          </reference>
          <reference field="18" count="0"/>
        </references>
      </pivotArea>
    </format>
    <format dxfId="31">
      <pivotArea dataOnly="0" labelOnly="1" fieldPosition="0">
        <references count="2">
          <reference field="2" count="1" selected="0">
            <x v="4"/>
          </reference>
          <reference field="18" count="4">
            <x v="1"/>
            <x v="2"/>
            <x v="3"/>
            <x v="4"/>
          </reference>
        </references>
      </pivotArea>
    </format>
    <format dxfId="30">
      <pivotArea dataOnly="0" labelOnly="1" fieldPosition="0">
        <references count="2">
          <reference field="2" count="1" selected="0">
            <x v="5"/>
          </reference>
          <reference field="18" count="0"/>
        </references>
      </pivotArea>
    </format>
    <format dxfId="29">
      <pivotArea dataOnly="0" labelOnly="1" outline="0" fieldPosition="0">
        <references count="1">
          <reference field="4294967294" count="6">
            <x v="0"/>
            <x v="1"/>
            <x v="2"/>
            <x v="3"/>
            <x v="4"/>
            <x v="5"/>
          </reference>
        </references>
      </pivotArea>
    </format>
    <format dxfId="28">
      <pivotArea field="6" type="button" dataOnly="0" labelOnly="1" outline="0" axis="axisPage" fieldPosition="0"/>
    </format>
  </formats>
  <chartFormats count="18">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17" series="1">
      <pivotArea type="data" outline="0" fieldPosition="0">
        <references count="1">
          <reference field="4294967294" count="1" selected="0">
            <x v="4"/>
          </reference>
        </references>
      </pivotArea>
    </chartFormat>
    <chartFormat chart="3" format="18" series="1">
      <pivotArea type="data" outline="0" fieldPosition="0">
        <references count="1">
          <reference field="4294967294" count="1" selected="0">
            <x v="3"/>
          </reference>
        </references>
      </pivotArea>
    </chartFormat>
    <chartFormat chart="3" format="20" series="1">
      <pivotArea type="data" outline="0" fieldPosition="0">
        <references count="1">
          <reference field="4294967294" count="1" selected="0">
            <x v="5"/>
          </reference>
        </references>
      </pivotArea>
    </chartFormat>
    <chartFormat chart="10" format="21" series="1">
      <pivotArea type="data" outline="0" fieldPosition="0">
        <references count="1">
          <reference field="4294967294" count="1" selected="0">
            <x v="0"/>
          </reference>
        </references>
      </pivotArea>
    </chartFormat>
    <chartFormat chart="10" format="22" series="1">
      <pivotArea type="data" outline="0" fieldPosition="0">
        <references count="1">
          <reference field="4294967294" count="1" selected="0">
            <x v="1"/>
          </reference>
        </references>
      </pivotArea>
    </chartFormat>
    <chartFormat chart="10" format="23" series="1">
      <pivotArea type="data" outline="0" fieldPosition="0">
        <references count="1">
          <reference field="4294967294" count="1" selected="0">
            <x v="2"/>
          </reference>
        </references>
      </pivotArea>
    </chartFormat>
    <chartFormat chart="10" format="24" series="1">
      <pivotArea type="data" outline="0" fieldPosition="0">
        <references count="1">
          <reference field="4294967294" count="1" selected="0">
            <x v="3"/>
          </reference>
        </references>
      </pivotArea>
    </chartFormat>
    <chartFormat chart="10" format="25" series="1">
      <pivotArea type="data" outline="0" fieldPosition="0">
        <references count="1">
          <reference field="4294967294" count="1" selected="0">
            <x v="4"/>
          </reference>
        </references>
      </pivotArea>
    </chartFormat>
    <chartFormat chart="10" format="26" series="1">
      <pivotArea type="data" outline="0" fieldPosition="0">
        <references count="1">
          <reference field="4294967294" count="1" selected="0">
            <x v="5"/>
          </reference>
        </references>
      </pivotArea>
    </chartFormat>
    <chartFormat chart="11" format="27" series="1">
      <pivotArea type="data" outline="0" fieldPosition="0">
        <references count="1">
          <reference field="4294967294" count="1" selected="0">
            <x v="0"/>
          </reference>
        </references>
      </pivotArea>
    </chartFormat>
    <chartFormat chart="11" format="28" series="1">
      <pivotArea type="data" outline="0" fieldPosition="0">
        <references count="1">
          <reference field="4294967294" count="1" selected="0">
            <x v="1"/>
          </reference>
        </references>
      </pivotArea>
    </chartFormat>
    <chartFormat chart="11" format="29" series="1">
      <pivotArea type="data" outline="0" fieldPosition="0">
        <references count="1">
          <reference field="4294967294" count="1" selected="0">
            <x v="2"/>
          </reference>
        </references>
      </pivotArea>
    </chartFormat>
    <chartFormat chart="11" format="30" series="1">
      <pivotArea type="data" outline="0" fieldPosition="0">
        <references count="1">
          <reference field="4294967294" count="1" selected="0">
            <x v="3"/>
          </reference>
        </references>
      </pivotArea>
    </chartFormat>
    <chartFormat chart="11" format="31" series="1">
      <pivotArea type="data" outline="0" fieldPosition="0">
        <references count="1">
          <reference field="4294967294" count="1" selected="0">
            <x v="4"/>
          </reference>
        </references>
      </pivotArea>
    </chartFormat>
    <chartFormat chart="11" format="32" series="1">
      <pivotArea type="data" outline="0" fieldPosition="0">
        <references count="1">
          <reference field="4294967294" count="1" selected="0">
            <x v="5"/>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4A6B250E-C09C-9349-9E34-977EA755ACC1}" sourceName="Department">
  <pivotTables>
    <pivotTable tabId="15" name="PivotTable5"/>
  </pivotTables>
  <data>
    <tabular pivotCacheId="2049333138">
      <items count="6">
        <i x="2" s="1"/>
        <i x="1" s="1"/>
        <i x="0" s="1"/>
        <i x="3"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687ABC67-54F2-9B42-9C29-E68170991E9F}" cache="Slicer_Department1" caption="Department"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B2F03C-FB4B-6849-BA09-9DAE8CDCDA91}" name="Table13" displayName="Table13" ref="A1:AG251" headerRowDxfId="134" dataDxfId="132" headerRowBorderDxfId="133" tableBorderDxfId="131" totalsRowBorderDxfId="130">
  <autoFilter ref="A1:AG251" xr:uid="{D6B2F03C-FB4B-6849-BA09-9DAE8CDCDA91}"/>
  <tableColumns count="33">
    <tableColumn id="1" xr3:uid="{FA9B0F7C-3285-DE4A-A8CF-A376AC14D92D}" name="Employee ID" totalsRowLabel="Total" dataDxfId="129" totalsRowDxfId="128"/>
    <tableColumn id="2" xr3:uid="{80EA09B2-D08B-E640-B20E-847AC93688F8}" name="Name" dataDxfId="127" totalsRowDxfId="126"/>
    <tableColumn id="3" xr3:uid="{109D6C97-0809-1840-BECE-AF405B4CBB30}" name="Department" dataDxfId="125" totalsRowDxfId="124"/>
    <tableColumn id="23" xr3:uid="{A53DE2CC-2F40-FF48-AE98-48DE5B598F04}" name="Title" dataDxfId="123" totalsRowDxfId="122"/>
    <tableColumn id="14" xr3:uid="{75FC4A69-018F-1446-BAAD-78A907F87ABB}" name="Recruitment Date" dataDxfId="121" totalsRowDxfId="120"/>
    <tableColumn id="24" xr3:uid="{B5C285BA-6688-3A40-B8E8-E49CF599E716}" name="Performance Manager" dataDxfId="119" totalsRowDxfId="118"/>
    <tableColumn id="26" xr3:uid="{1BFE4B47-0B57-2E4C-B176-C0FEFD130353}" name="Unit / Location" dataDxfId="117" totalsRowDxfId="116"/>
    <tableColumn id="25" xr3:uid="{266E4069-CF70-9C46-953B-9893C28D8F0D}" name="Country" dataDxfId="115" totalsRowDxfId="114"/>
    <tableColumn id="37" xr3:uid="{E7E0C06D-ED33-0446-91A1-BA71D0E7EA67}" name="Employment Type" dataDxfId="113" totalsRowDxfId="112"/>
    <tableColumn id="22" xr3:uid="{5259CFC1-2D73-474D-8935-FE4048DE2CE6}" name="Job Level " dataDxfId="111" totalsRowDxfId="110"/>
    <tableColumn id="21" xr3:uid="{14C711BE-6641-9244-8AE1-BBC7BA4873E6}" name="Job Grade" dataDxfId="109" totalsRowDxfId="108"/>
    <tableColumn id="4" xr3:uid="{C1D972C6-72EA-CA4C-A02D-124C91944BCC}" name="Monthly Gross Salary" dataDxfId="107" totalsRowDxfId="106"/>
    <tableColumn id="29" xr3:uid="{FD1CD225-E70C-F041-B089-9DE52683C09C}" name="Pay Frequency" dataDxfId="105" totalsRowDxfId="104"/>
    <tableColumn id="27" xr3:uid="{6D4B8775-1A72-574C-B92D-D22F8E63BB69}" name="Min" dataDxfId="103" totalsRowDxfId="102"/>
    <tableColumn id="28" xr3:uid="{3C0B2344-CFF9-B94E-B3CF-E658E8EC9643}" name="Mid" dataDxfId="101" totalsRowDxfId="100"/>
    <tableColumn id="15" xr3:uid="{D3F82729-1662-ED4D-9A76-5F60B03970FA}" name="Max" dataDxfId="99" totalsRowDxfId="98"/>
    <tableColumn id="17" xr3:uid="{B6F68217-1701-6847-A80E-E3E25A62B5AE}" name="Compa_Ratio_x000a_(GrossSalary/Mid)" dataDxfId="97" totalsRowDxfId="96">
      <calculatedColumnFormula>Table13[[#This Row],[Monthly Gross Salary]]/Table13[[#This Row],[Mid]]</calculatedColumnFormula>
    </tableColumn>
    <tableColumn id="16" xr3:uid="{8061DA80-C80C-6044-969B-7F64711F47AF}" name="Compa-Ratio Group" dataDxfId="95" totalsRowDxfId="94">
      <calculatedColumnFormula>IF(Q2&lt;0.85,"Very Low",
 IF(Q2&lt;0.95,"Below Mid",
 IF(Q2&lt;=1.05,"Around Mid",
 IF(Q2&lt;=1.15,"Above Mid","High"))))</calculatedColumnFormula>
    </tableColumn>
    <tableColumn id="13" xr3:uid="{70114BF8-3051-3E44-882A-2DF27A422798}" name="Performance" dataDxfId="93" totalsRowDxfId="92"/>
    <tableColumn id="19" xr3:uid="{3B6B3A2B-2A25-7949-8C64-FBDF591C92EB}" name="Salary increase %" dataDxfId="91" totalsRowDxfId="90">
      <calculatedColumnFormula>INDEX('Merit Matrix'!$B$4:$F$8,
       MATCH($S2,'Merit Matrix'!$A$4:$A$8,0),
       MATCH(TRIM($R2),'Merit Matrix'!$B$3:$F$3,0))</calculatedColumnFormula>
    </tableColumn>
    <tableColumn id="18" xr3:uid="{18C4E843-9A4C-A947-8605-024E1E75E3BF}" name="Salary increase Amount" dataDxfId="89" totalsRowDxfId="88">
      <calculatedColumnFormula>Table13[[#This Row],[Salary increase %]]*Table13[[#This Row],[Monthly Gross Salary]]</calculatedColumnFormula>
    </tableColumn>
    <tableColumn id="20" xr3:uid="{94CB391D-1E97-334B-9727-72B8A3CA5D94}" name="New Gross Salary" dataDxfId="87" totalsRowDxfId="86">
      <calculatedColumnFormula>Table13[[#This Row],[Salary increase Amount]]+Table13[[#This Row],[Monthly Gross Salary]]</calculatedColumnFormula>
    </tableColumn>
    <tableColumn id="7" xr3:uid="{4529C3B2-7403-F846-A350-DA10B97ADED4}" name="STI %" dataDxfId="85" totalsRowDxfId="84"/>
    <tableColumn id="31" xr3:uid="{8D091BB9-F5B0-4C41-9FAD-6F4A0D5B8C9E}" name="Target STI" dataDxfId="83" totalsRowDxfId="82">
      <calculatedColumnFormula>Table13[[#This Row],[New Gross Salary]]*Table13[[#This Row],[STI %]]</calculatedColumnFormula>
    </tableColumn>
    <tableColumn id="30" xr3:uid="{9A382986-AC2E-2B4D-B02A-F9F7BA20E47C}" name="Multiplier" dataDxfId="81" totalsRowDxfId="80"/>
    <tableColumn id="33" xr3:uid="{E9BB15AA-188D-C649-8D0C-A2F42B31EA7F}" name="Final STI" dataDxfId="79" totalsRowDxfId="78">
      <calculatedColumnFormula>Table13[[#This Row],[Target STI]]*Table13[[#This Row],[Multiplier]]</calculatedColumnFormula>
    </tableColumn>
    <tableColumn id="5" xr3:uid="{C3011F8D-9981-704A-89F2-AA8D8185D9DC}" name="Tax %" dataDxfId="77" totalsRowDxfId="76"/>
    <tableColumn id="6" xr3:uid="{5D7A1426-15D7-A24A-B2D3-81EC1496BFBA}" name="Benefit Plan" dataDxfId="75" totalsRowDxfId="74"/>
    <tableColumn id="8" xr3:uid="{1A6F920F-B1FB-F447-A549-9FB77056FD07}" name="Tax Amount_x000a_(New Gross Salary + Final STI)*Tax %)" dataDxfId="73">
      <calculatedColumnFormula>(Table13[[#This Row],[New Gross Salary]]+Table13[[#This Row],[Final STI]])*Table13[[#This Row],[Tax %]]</calculatedColumnFormula>
    </tableColumn>
    <tableColumn id="9" xr3:uid="{34765442-264D-4543-9BE8-D3F1174F7881}" name="Pension _x000a_(New Gross Salary*5%)" dataDxfId="72" totalsRowDxfId="71">
      <calculatedColumnFormula>Table13[[#This Row],[New Gross Salary]]*5%</calculatedColumnFormula>
    </tableColumn>
    <tableColumn id="10" xr3:uid="{9A0A4255-7C55-A647-8670-E979DE769DEF}" name="Health Premium_x000a_(A/B/C)" dataDxfId="70" totalsRowDxfId="69">
      <calculatedColumnFormula array="1">_xlfn.XLOOKUP(AB2,{"A","B","C"},{500,800,1200})</calculatedColumnFormula>
    </tableColumn>
    <tableColumn id="11" xr3:uid="{5FDE0564-55CD-6443-B27D-43B1EE6980AA}" name="Total Deductions_x000a_(Tax+Pension+HP)" dataDxfId="68" totalsRowDxfId="67">
      <calculatedColumnFormula>SUM(AC2:AE2)</calculatedColumnFormula>
    </tableColumn>
    <tableColumn id="12" xr3:uid="{76439B6C-2AE7-D84F-9A4B-1ED6E50A733C}" name="Net Pay_x000a_(New Gross Salary+Final STI-Total Deductions)" totalsRowFunction="sum" dataDxfId="66" totalsRowDxfId="65">
      <calculatedColumnFormula>Table13[[#This Row],[New Gross Salary]]+Table13[[#This Row],[Final STI]]-Table13[[#This Row],[Total Deductions
(Tax+Pension+HP)]]</calculatedColumnFormula>
    </tableColumn>
  </tableColumns>
  <tableStyleInfo name="TableStyleLight3" showFirstColumn="0"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8466A8-9F0A-9345-A094-BECF65641FED}" name="Table3" displayName="Table3" ref="A2:I26" totalsRowShown="0" headerRowDxfId="27" dataDxfId="25" headerRowBorderDxfId="26" tableBorderDxfId="24" totalsRowBorderDxfId="23">
  <autoFilter ref="A2:I26" xr:uid="{528466A8-9F0A-9345-A094-BECF65641FED}"/>
  <tableColumns count="9">
    <tableColumn id="1" xr3:uid="{057A4CB5-7097-124D-9A0F-F1D133D8D4B4}" name="Internal Title" dataDxfId="22"/>
    <tableColumn id="2" xr3:uid="{F6B7AD35-B89E-8845-ACA3-85AED738CBC7}" name="Department" dataDxfId="21"/>
    <tableColumn id="3" xr3:uid="{F0ADD7D1-509C-BA48-A95B-1F4E1CA3D71E}" name="Job Level" dataDxfId="20"/>
    <tableColumn id="4" xr3:uid="{C29856E9-1932-3C49-B0A4-02BE0B486BAB}" name="Job Grade" dataDxfId="19"/>
    <tableColumn id="5" xr3:uid="{A1B4F4ED-1FB3-D24B-9C16-FDD35C9DBCA3}" name="Typical Scope" dataDxfId="18"/>
    <tableColumn id="6" xr3:uid="{900D8004-0E29-C64C-8794-87031B1DBE0C}" name="Survey Career Level" dataDxfId="17"/>
    <tableColumn id="7" xr3:uid="{F4616FA6-B487-FD45-B919-1EB71F4553D4}" name="Survey Job Family" dataDxfId="16"/>
    <tableColumn id="8" xr3:uid="{51F3750D-3781-8C4B-ADC0-656F04BAA409}" name="People Mgmt" dataDxfId="15"/>
    <tableColumn id="9" xr3:uid="{6603E313-C7C7-B442-B3AD-8566DD37CB23}" name="Match Confidence" dataDxfId="14"/>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18108C8-AA69-D944-A220-9B24BB1505EA}" name="Table4" displayName="Table4" ref="A2:I8" totalsRowShown="0" headerRowDxfId="13" dataDxfId="11" headerRowBorderDxfId="12" tableBorderDxfId="10" totalsRowBorderDxfId="9">
  <autoFilter ref="A2:I8" xr:uid="{F18108C8-AA69-D944-A220-9B24BB1505EA}"/>
  <tableColumns count="9">
    <tableColumn id="1" xr3:uid="{B8EB61DA-3011-A646-8C8B-45FA8F2C007A}" name="Job Grade" dataDxfId="8"/>
    <tableColumn id="2" xr3:uid="{45D7F567-B3D6-444A-AE7B-F9BCBB2202E2}" name="Job Level" dataDxfId="7"/>
    <tableColumn id="3" xr3:uid="{90546F7E-D0C8-1D48-9AEB-C6E368AA10CC}" name="Roles in the pay table" dataDxfId="6"/>
    <tableColumn id="4" xr3:uid="{B648C4EF-4F17-924B-A988-9549D832581F}" name="Band Min" dataDxfId="5"/>
    <tableColumn id="5" xr3:uid="{233692F6-7B9D-7749-BAB7-1B55DA5611CE}" name="Band Mid_x000a_(refer to mercer)" dataDxfId="4"/>
    <tableColumn id="6" xr3:uid="{AFDD7366-6509-AB46-A0E5-B088DD34752B}" name="Band Max" dataDxfId="3"/>
    <tableColumn id="9" xr3:uid="{FD07ACC7-40F9-6748-A510-F28F8C783984}" name="Range 1 (Min→Mid)" dataDxfId="2">
      <calculatedColumnFormula xml:space="preserve"> (Table4[[#This Row],[Band Mid
(refer to mercer)]]-Table4[[#This Row],[Band Min]])/Table4[[#This Row],[Band Min]]</calculatedColumnFormula>
    </tableColumn>
    <tableColumn id="7" xr3:uid="{9D804CD6-0267-B545-8B86-63000DBCA92E}" name="Range 2 (Mid→Max)" dataDxfId="1">
      <calculatedColumnFormula>(Table4[[#This Row],[Band Max]]-Table4[[#This Row],[Band Mid
(refer to mercer)]])/Table4[[#This Row],[Band Mid
(refer to mercer)]]</calculatedColumnFormula>
    </tableColumn>
    <tableColumn id="10" xr3:uid="{5BFBA9A3-7595-5445-A4B6-BA7AFC5AC9A0}" name="Total Range (Min→Max)" dataDxfId="0">
      <calculatedColumnFormula>(Table4[[#This Row],[Band Max]]-Table4[[#This Row],[Band Min]])/Table4[[#This Row],[Band Min]]</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3F077-BD56-844C-B054-D93EB9CE83DD}">
  <dimension ref="A1:AI251"/>
  <sheetViews>
    <sheetView tabSelected="1" workbookViewId="0">
      <selection activeCell="AJ31" sqref="AJ31"/>
    </sheetView>
  </sheetViews>
  <sheetFormatPr baseColWidth="10" defaultRowHeight="15" x14ac:dyDescent="0.2"/>
  <cols>
    <col min="1" max="1" width="8.33203125" customWidth="1"/>
    <col min="4" max="4" width="19.83203125" bestFit="1" customWidth="1"/>
    <col min="11" max="11" width="8.1640625" customWidth="1"/>
    <col min="19" max="19" width="6.5" customWidth="1"/>
    <col min="20" max="20" width="9.5" customWidth="1"/>
    <col min="23" max="23" width="8" customWidth="1"/>
    <col min="25" max="25" width="7.6640625" customWidth="1"/>
    <col min="26" max="26" width="9.1640625" customWidth="1"/>
    <col min="27" max="27" width="8.6640625" customWidth="1"/>
    <col min="28" max="28" width="7" customWidth="1"/>
    <col min="29" max="29" width="15.83203125" style="102" customWidth="1"/>
    <col min="30" max="30" width="9.5" style="102" customWidth="1"/>
    <col min="32" max="32" width="16" style="102" customWidth="1"/>
    <col min="33" max="33" width="17.33203125" style="102" customWidth="1"/>
  </cols>
  <sheetData>
    <row r="1" spans="1:35" ht="60" x14ac:dyDescent="0.2">
      <c r="A1" s="15" t="s">
        <v>0</v>
      </c>
      <c r="B1" s="16" t="s">
        <v>1</v>
      </c>
      <c r="C1" s="16" t="s">
        <v>2</v>
      </c>
      <c r="D1" s="16" t="s">
        <v>271</v>
      </c>
      <c r="E1" s="16" t="s">
        <v>272</v>
      </c>
      <c r="F1" s="16" t="s">
        <v>273</v>
      </c>
      <c r="G1" s="16" t="s">
        <v>521</v>
      </c>
      <c r="H1" s="16" t="s">
        <v>274</v>
      </c>
      <c r="I1" s="16" t="s">
        <v>660</v>
      </c>
      <c r="J1" s="16" t="s">
        <v>662</v>
      </c>
      <c r="K1" s="16" t="s">
        <v>562</v>
      </c>
      <c r="L1" s="16" t="s">
        <v>569</v>
      </c>
      <c r="M1" s="16" t="s">
        <v>672</v>
      </c>
      <c r="N1" s="16" t="s">
        <v>563</v>
      </c>
      <c r="O1" s="16" t="s">
        <v>564</v>
      </c>
      <c r="P1" s="16" t="s">
        <v>565</v>
      </c>
      <c r="Q1" s="16" t="s">
        <v>568</v>
      </c>
      <c r="R1" s="16" t="s">
        <v>567</v>
      </c>
      <c r="S1" s="16" t="s">
        <v>607</v>
      </c>
      <c r="T1" s="17" t="s">
        <v>268</v>
      </c>
      <c r="U1" s="18" t="s">
        <v>269</v>
      </c>
      <c r="V1" s="16" t="s">
        <v>270</v>
      </c>
      <c r="W1" s="16" t="s">
        <v>645</v>
      </c>
      <c r="X1" s="16" t="s">
        <v>646</v>
      </c>
      <c r="Y1" s="16" t="s">
        <v>647</v>
      </c>
      <c r="Z1" s="16" t="s">
        <v>648</v>
      </c>
      <c r="AA1" s="16" t="s">
        <v>670</v>
      </c>
      <c r="AB1" s="16" t="s">
        <v>3</v>
      </c>
      <c r="AC1" s="18" t="s">
        <v>671</v>
      </c>
      <c r="AD1" s="18" t="s">
        <v>275</v>
      </c>
      <c r="AE1" s="16" t="s">
        <v>266</v>
      </c>
      <c r="AF1" s="18" t="s">
        <v>267</v>
      </c>
      <c r="AG1" s="19" t="s">
        <v>668</v>
      </c>
    </row>
    <row r="2" spans="1:35" x14ac:dyDescent="0.2">
      <c r="A2" s="20">
        <v>1001</v>
      </c>
      <c r="B2" s="21" t="s">
        <v>4</v>
      </c>
      <c r="C2" s="21" t="s">
        <v>5</v>
      </c>
      <c r="D2" s="21" t="s">
        <v>548</v>
      </c>
      <c r="E2" s="22">
        <v>44927</v>
      </c>
      <c r="F2" s="21" t="s">
        <v>276</v>
      </c>
      <c r="G2" s="21" t="s">
        <v>522</v>
      </c>
      <c r="H2" s="21" t="s">
        <v>520</v>
      </c>
      <c r="I2" s="5" t="s">
        <v>661</v>
      </c>
      <c r="J2" s="21" t="s">
        <v>533</v>
      </c>
      <c r="K2" s="21" t="s">
        <v>536</v>
      </c>
      <c r="L2" s="23">
        <v>34245</v>
      </c>
      <c r="M2" s="23" t="s">
        <v>673</v>
      </c>
      <c r="N2" s="23">
        <v>30000</v>
      </c>
      <c r="O2" s="23">
        <v>35000</v>
      </c>
      <c r="P2" s="23">
        <v>40000</v>
      </c>
      <c r="Q2" s="24">
        <f>Table13[[#This Row],[Monthly Gross Salary]]/Table13[[#This Row],[Mid]]</f>
        <v>0.97842857142857143</v>
      </c>
      <c r="R2" s="23" t="str">
        <f>IF(Q2&lt;0.85,"Very Low",
 IF(Q2&lt;0.95,"Below Mid",
 IF(Q2&lt;=1.05,"Around Mid",
 IF(Q2&lt;=1.15,"Above Mid","High"))))</f>
        <v>Around Mid</v>
      </c>
      <c r="S2" s="23">
        <v>4</v>
      </c>
      <c r="T2" s="25">
        <f>INDEX('Merit Matrix'!$B$4:$F$8,
       MATCH($S2,'Merit Matrix'!$A$4:$A$8,0),
       MATCH(TRIM($R2),'Merit Matrix'!$B$3:$F$3,0))</f>
        <v>0.04</v>
      </c>
      <c r="U2" s="24">
        <f>Table13[[#This Row],[Salary increase %]]*Table13[[#This Row],[Monthly Gross Salary]]</f>
        <v>1369.8</v>
      </c>
      <c r="V2" s="23">
        <f>Table13[[#This Row],[Salary increase Amount]]+Table13[[#This Row],[Monthly Gross Salary]]</f>
        <v>35614.800000000003</v>
      </c>
      <c r="W2" s="75">
        <v>0.1</v>
      </c>
      <c r="X2" s="6">
        <f>Table13[[#This Row],[New Gross Salary]]*Table13[[#This Row],[STI %]]</f>
        <v>3561.4800000000005</v>
      </c>
      <c r="Y2" s="96">
        <v>1.2</v>
      </c>
      <c r="Z2" s="6">
        <f>Table13[[#This Row],[Target STI]]*Table13[[#This Row],[Multiplier]]</f>
        <v>4273.7760000000007</v>
      </c>
      <c r="AA2" s="26">
        <v>0.28999999999999998</v>
      </c>
      <c r="AB2" s="21" t="s">
        <v>6</v>
      </c>
      <c r="AC2" s="24">
        <f>(Table13[[#This Row],[New Gross Salary]]+Table13[[#This Row],[Final STI]])*Table13[[#This Row],[Tax %]]</f>
        <v>11567.687039999999</v>
      </c>
      <c r="AD2" s="24">
        <f>Table13[[#This Row],[New Gross Salary]]*5%</f>
        <v>1780.7400000000002</v>
      </c>
      <c r="AE2" s="21" cm="1">
        <f t="array" ref="AE2">_xlfn.XLOOKUP(AB2,{"A","B","C"},{500,800,1200})</f>
        <v>1200</v>
      </c>
      <c r="AF2" s="24">
        <f>SUM(AC2:AE2)</f>
        <v>14548.427039999999</v>
      </c>
      <c r="AG2" s="27">
        <f>Table13[[#This Row],[New Gross Salary]]+Table13[[#This Row],[Final STI]]-Table13[[#This Row],[Total Deductions
(Tax+Pension+HP)]]</f>
        <v>25340.148960000002</v>
      </c>
      <c r="AI2" s="116"/>
    </row>
    <row r="3" spans="1:35" x14ac:dyDescent="0.2">
      <c r="A3" s="20">
        <v>1002</v>
      </c>
      <c r="B3" s="21" t="s">
        <v>7</v>
      </c>
      <c r="C3" s="21" t="s">
        <v>8</v>
      </c>
      <c r="D3" s="21" t="s">
        <v>542</v>
      </c>
      <c r="E3" s="22">
        <v>45292</v>
      </c>
      <c r="F3" s="21" t="s">
        <v>277</v>
      </c>
      <c r="G3" s="21" t="s">
        <v>523</v>
      </c>
      <c r="H3" s="21" t="s">
        <v>520</v>
      </c>
      <c r="I3" s="5" t="s">
        <v>661</v>
      </c>
      <c r="J3" s="21" t="s">
        <v>533</v>
      </c>
      <c r="K3" s="21" t="s">
        <v>537</v>
      </c>
      <c r="L3" s="23">
        <v>41804</v>
      </c>
      <c r="M3" s="23" t="s">
        <v>673</v>
      </c>
      <c r="N3" s="23">
        <v>35000</v>
      </c>
      <c r="O3" s="23">
        <v>40000</v>
      </c>
      <c r="P3" s="23">
        <v>45000</v>
      </c>
      <c r="Q3" s="24">
        <f>Table13[[#This Row],[Monthly Gross Salary]]/Table13[[#This Row],[Mid]]</f>
        <v>1.0450999999999999</v>
      </c>
      <c r="R3" s="23" t="str">
        <f t="shared" ref="R3:R66" si="0">IF(Q3&lt;0.85,"Very Low",
 IF(Q3&lt;0.95,"Below Mid",
 IF(Q3&lt;=1.05,"Around Mid",
 IF(Q3&lt;=1.15,"Above Mid","High"))))</f>
        <v>Around Mid</v>
      </c>
      <c r="S3" s="23">
        <v>3</v>
      </c>
      <c r="T3" s="25">
        <f>INDEX('Merit Matrix'!$B$4:$F$8,
       MATCH($S3,'Merit Matrix'!$A$4:$A$8,0),
       MATCH(TRIM($R3),'Merit Matrix'!$B$3:$F$3,0))</f>
        <v>2.5000000000000001E-2</v>
      </c>
      <c r="U3" s="24">
        <f>Table13[[#This Row],[Salary increase %]]*Table13[[#This Row],[Monthly Gross Salary]]</f>
        <v>1045.1000000000001</v>
      </c>
      <c r="V3" s="23">
        <f>Table13[[#This Row],[Salary increase Amount]]+Table13[[#This Row],[Monthly Gross Salary]]</f>
        <v>42849.1</v>
      </c>
      <c r="W3" s="75">
        <v>0.1</v>
      </c>
      <c r="X3" s="6">
        <f>Table13[[#This Row],[New Gross Salary]]*Table13[[#This Row],[STI %]]</f>
        <v>4284.91</v>
      </c>
      <c r="Y3" s="96">
        <v>1</v>
      </c>
      <c r="Z3" s="6">
        <f>Table13[[#This Row],[Target STI]]*Table13[[#This Row],[Multiplier]]</f>
        <v>4284.91</v>
      </c>
      <c r="AA3" s="26">
        <v>0.27</v>
      </c>
      <c r="AB3" s="21" t="s">
        <v>9</v>
      </c>
      <c r="AC3" s="24">
        <f>(Table13[[#This Row],[New Gross Salary]]+Table13[[#This Row],[Final STI]])*Table13[[#This Row],[Tax %]]</f>
        <v>12726.182699999999</v>
      </c>
      <c r="AD3" s="24">
        <f>Table13[[#This Row],[New Gross Salary]]*5%</f>
        <v>2142.4549999999999</v>
      </c>
      <c r="AE3" s="21" cm="1">
        <f t="array" ref="AE3">_xlfn.XLOOKUP(AB3,{"A","B","C"},{500,800,1200})</f>
        <v>800</v>
      </c>
      <c r="AF3" s="24">
        <f t="shared" ref="AF3:AF66" si="1">SUM(AC3:AE3)</f>
        <v>15668.637699999999</v>
      </c>
      <c r="AG3" s="27">
        <f>Table13[[#This Row],[New Gross Salary]]+Table13[[#This Row],[Final STI]]-Table13[[#This Row],[Total Deductions
(Tax+Pension+HP)]]</f>
        <v>31465.372299999995</v>
      </c>
    </row>
    <row r="4" spans="1:35" x14ac:dyDescent="0.2">
      <c r="A4" s="20">
        <v>1003</v>
      </c>
      <c r="B4" s="21" t="s">
        <v>10</v>
      </c>
      <c r="C4" s="21" t="s">
        <v>11</v>
      </c>
      <c r="D4" s="21" t="s">
        <v>528</v>
      </c>
      <c r="E4" s="22">
        <v>45292</v>
      </c>
      <c r="F4" s="21" t="s">
        <v>278</v>
      </c>
      <c r="G4" s="21" t="s">
        <v>524</v>
      </c>
      <c r="H4" s="21" t="s">
        <v>520</v>
      </c>
      <c r="I4" s="5" t="s">
        <v>661</v>
      </c>
      <c r="J4" s="21" t="s">
        <v>533</v>
      </c>
      <c r="K4" s="21" t="s">
        <v>536</v>
      </c>
      <c r="L4" s="23">
        <v>34245</v>
      </c>
      <c r="M4" s="23" t="s">
        <v>673</v>
      </c>
      <c r="N4" s="23">
        <v>30000</v>
      </c>
      <c r="O4" s="23">
        <v>35000</v>
      </c>
      <c r="P4" s="23">
        <v>40000</v>
      </c>
      <c r="Q4" s="24">
        <f>Table13[[#This Row],[Monthly Gross Salary]]/Table13[[#This Row],[Mid]]</f>
        <v>0.97842857142857143</v>
      </c>
      <c r="R4" s="23" t="str">
        <f t="shared" si="0"/>
        <v>Around Mid</v>
      </c>
      <c r="S4" s="23">
        <v>3</v>
      </c>
      <c r="T4" s="25">
        <f>INDEX('Merit Matrix'!$B$4:$F$8,
       MATCH($S4,'Merit Matrix'!$A$4:$A$8,0),
       MATCH(TRIM($R4),'Merit Matrix'!$B$3:$F$3,0))</f>
        <v>2.5000000000000001E-2</v>
      </c>
      <c r="U4" s="24">
        <f>Table13[[#This Row],[Salary increase %]]*Table13[[#This Row],[Monthly Gross Salary]]</f>
        <v>856.125</v>
      </c>
      <c r="V4" s="23">
        <f>Table13[[#This Row],[Salary increase Amount]]+Table13[[#This Row],[Monthly Gross Salary]]</f>
        <v>35101.125</v>
      </c>
      <c r="W4" s="75">
        <v>0.1</v>
      </c>
      <c r="X4" s="6">
        <f>Table13[[#This Row],[New Gross Salary]]*Table13[[#This Row],[STI %]]</f>
        <v>3510.1125000000002</v>
      </c>
      <c r="Y4" s="96">
        <v>1</v>
      </c>
      <c r="Z4" s="6">
        <f>Table13[[#This Row],[Target STI]]*Table13[[#This Row],[Multiplier]]</f>
        <v>3510.1125000000002</v>
      </c>
      <c r="AA4" s="26">
        <v>0.31</v>
      </c>
      <c r="AB4" s="21" t="s">
        <v>9</v>
      </c>
      <c r="AC4" s="24">
        <f>(Table13[[#This Row],[New Gross Salary]]+Table13[[#This Row],[Final STI]])*Table13[[#This Row],[Tax %]]</f>
        <v>11969.483625000001</v>
      </c>
      <c r="AD4" s="24">
        <f>Table13[[#This Row],[New Gross Salary]]*5%</f>
        <v>1755.0562500000001</v>
      </c>
      <c r="AE4" s="21" cm="1">
        <f t="array" ref="AE4">_xlfn.XLOOKUP(AB4,{"A","B","C"},{500,800,1200})</f>
        <v>800</v>
      </c>
      <c r="AF4" s="24">
        <f t="shared" si="1"/>
        <v>14524.539875</v>
      </c>
      <c r="AG4" s="27">
        <f>Table13[[#This Row],[New Gross Salary]]+Table13[[#This Row],[Final STI]]-Table13[[#This Row],[Total Deductions
(Tax+Pension+HP)]]</f>
        <v>24086.697625000001</v>
      </c>
    </row>
    <row r="5" spans="1:35" x14ac:dyDescent="0.2">
      <c r="A5" s="20">
        <v>1004</v>
      </c>
      <c r="B5" s="21" t="s">
        <v>12</v>
      </c>
      <c r="C5" s="21" t="s">
        <v>5</v>
      </c>
      <c r="D5" s="21" t="s">
        <v>548</v>
      </c>
      <c r="E5" s="22">
        <v>44927</v>
      </c>
      <c r="F5" s="21" t="s">
        <v>279</v>
      </c>
      <c r="G5" s="21" t="s">
        <v>525</v>
      </c>
      <c r="H5" s="21" t="s">
        <v>520</v>
      </c>
      <c r="I5" s="5" t="s">
        <v>661</v>
      </c>
      <c r="J5" s="21" t="s">
        <v>533</v>
      </c>
      <c r="K5" s="21" t="s">
        <v>536</v>
      </c>
      <c r="L5" s="23">
        <v>34245</v>
      </c>
      <c r="M5" s="23" t="s">
        <v>673</v>
      </c>
      <c r="N5" s="23">
        <v>30000</v>
      </c>
      <c r="O5" s="23">
        <v>35000</v>
      </c>
      <c r="P5" s="23">
        <v>40000</v>
      </c>
      <c r="Q5" s="24">
        <f>Table13[[#This Row],[Monthly Gross Salary]]/Table13[[#This Row],[Mid]]</f>
        <v>0.97842857142857143</v>
      </c>
      <c r="R5" s="23" t="str">
        <f t="shared" si="0"/>
        <v>Around Mid</v>
      </c>
      <c r="S5" s="23">
        <v>4</v>
      </c>
      <c r="T5" s="25">
        <f>INDEX('Merit Matrix'!$B$4:$F$8,
       MATCH($S5,'Merit Matrix'!$A$4:$A$8,0),
       MATCH(TRIM($R5),'Merit Matrix'!$B$3:$F$3,0))</f>
        <v>0.04</v>
      </c>
      <c r="U5" s="24">
        <f>Table13[[#This Row],[Salary increase %]]*Table13[[#This Row],[Monthly Gross Salary]]</f>
        <v>1369.8</v>
      </c>
      <c r="V5" s="23">
        <f>Table13[[#This Row],[Salary increase Amount]]+Table13[[#This Row],[Monthly Gross Salary]]</f>
        <v>35614.800000000003</v>
      </c>
      <c r="W5" s="75">
        <v>0.1</v>
      </c>
      <c r="X5" s="6">
        <f>Table13[[#This Row],[New Gross Salary]]*Table13[[#This Row],[STI %]]</f>
        <v>3561.4800000000005</v>
      </c>
      <c r="Y5" s="96">
        <v>1.2</v>
      </c>
      <c r="Z5" s="6">
        <f>Table13[[#This Row],[Target STI]]*Table13[[#This Row],[Multiplier]]</f>
        <v>4273.7760000000007</v>
      </c>
      <c r="AA5" s="26">
        <v>0.28000000000000003</v>
      </c>
      <c r="AB5" s="21" t="s">
        <v>9</v>
      </c>
      <c r="AC5" s="24">
        <f>(Table13[[#This Row],[New Gross Salary]]+Table13[[#This Row],[Final STI]])*Table13[[#This Row],[Tax %]]</f>
        <v>11168.801280000001</v>
      </c>
      <c r="AD5" s="24">
        <f>Table13[[#This Row],[New Gross Salary]]*5%</f>
        <v>1780.7400000000002</v>
      </c>
      <c r="AE5" s="21" cm="1">
        <f t="array" ref="AE5">_xlfn.XLOOKUP(AB5,{"A","B","C"},{500,800,1200})</f>
        <v>800</v>
      </c>
      <c r="AF5" s="24">
        <f t="shared" si="1"/>
        <v>13749.541280000001</v>
      </c>
      <c r="AG5" s="27">
        <f>Table13[[#This Row],[New Gross Salary]]+Table13[[#This Row],[Final STI]]-Table13[[#This Row],[Total Deductions
(Tax+Pension+HP)]]</f>
        <v>26139.03472</v>
      </c>
    </row>
    <row r="6" spans="1:35" x14ac:dyDescent="0.2">
      <c r="A6" s="20">
        <v>1005</v>
      </c>
      <c r="B6" s="21" t="s">
        <v>13</v>
      </c>
      <c r="C6" s="21" t="s">
        <v>14</v>
      </c>
      <c r="D6" s="21" t="s">
        <v>552</v>
      </c>
      <c r="E6" s="22">
        <v>44927</v>
      </c>
      <c r="F6" s="21" t="s">
        <v>280</v>
      </c>
      <c r="G6" s="21" t="s">
        <v>526</v>
      </c>
      <c r="H6" s="21" t="s">
        <v>520</v>
      </c>
      <c r="I6" s="5" t="s">
        <v>661</v>
      </c>
      <c r="J6" s="21" t="s">
        <v>533</v>
      </c>
      <c r="K6" s="21" t="s">
        <v>536</v>
      </c>
      <c r="L6" s="23">
        <v>34245</v>
      </c>
      <c r="M6" s="23" t="s">
        <v>673</v>
      </c>
      <c r="N6" s="23">
        <v>30000</v>
      </c>
      <c r="O6" s="23">
        <v>35000</v>
      </c>
      <c r="P6" s="23">
        <v>40000</v>
      </c>
      <c r="Q6" s="24">
        <f>Table13[[#This Row],[Monthly Gross Salary]]/Table13[[#This Row],[Mid]]</f>
        <v>0.97842857142857143</v>
      </c>
      <c r="R6" s="23" t="str">
        <f t="shared" si="0"/>
        <v>Around Mid</v>
      </c>
      <c r="S6" s="23">
        <v>5</v>
      </c>
      <c r="T6" s="25">
        <f>INDEX('Merit Matrix'!$B$4:$F$8,
       MATCH($S6,'Merit Matrix'!$A$4:$A$8,0),
       MATCH(TRIM($R6),'Merit Matrix'!$B$3:$F$3,0))</f>
        <v>0.06</v>
      </c>
      <c r="U6" s="24">
        <f>Table13[[#This Row],[Salary increase %]]*Table13[[#This Row],[Monthly Gross Salary]]</f>
        <v>2054.6999999999998</v>
      </c>
      <c r="V6" s="23">
        <f>Table13[[#This Row],[Salary increase Amount]]+Table13[[#This Row],[Monthly Gross Salary]]</f>
        <v>36299.699999999997</v>
      </c>
      <c r="W6" s="75">
        <v>0.1</v>
      </c>
      <c r="X6" s="6">
        <f>Table13[[#This Row],[New Gross Salary]]*Table13[[#This Row],[STI %]]</f>
        <v>3629.97</v>
      </c>
      <c r="Y6" s="96">
        <v>1.5</v>
      </c>
      <c r="Z6" s="6">
        <f>Table13[[#This Row],[Target STI]]*Table13[[#This Row],[Multiplier]]</f>
        <v>5444.9549999999999</v>
      </c>
      <c r="AA6" s="26">
        <v>0.32</v>
      </c>
      <c r="AB6" s="21" t="s">
        <v>6</v>
      </c>
      <c r="AC6" s="24">
        <f>(Table13[[#This Row],[New Gross Salary]]+Table13[[#This Row],[Final STI]])*Table13[[#This Row],[Tax %]]</f>
        <v>13358.2896</v>
      </c>
      <c r="AD6" s="24">
        <f>Table13[[#This Row],[New Gross Salary]]*5%</f>
        <v>1814.9849999999999</v>
      </c>
      <c r="AE6" s="21" cm="1">
        <f t="array" ref="AE6">_xlfn.XLOOKUP(AB6,{"A","B","C"},{500,800,1200})</f>
        <v>1200</v>
      </c>
      <c r="AF6" s="24">
        <f t="shared" si="1"/>
        <v>16373.274600000001</v>
      </c>
      <c r="AG6" s="27">
        <f>Table13[[#This Row],[New Gross Salary]]+Table13[[#This Row],[Final STI]]-Table13[[#This Row],[Total Deductions
(Tax+Pension+HP)]]</f>
        <v>25371.380399999998</v>
      </c>
    </row>
    <row r="7" spans="1:35" x14ac:dyDescent="0.2">
      <c r="A7" s="20">
        <v>1006</v>
      </c>
      <c r="B7" s="21" t="s">
        <v>15</v>
      </c>
      <c r="C7" s="21" t="s">
        <v>14</v>
      </c>
      <c r="D7" s="21" t="s">
        <v>552</v>
      </c>
      <c r="E7" s="22">
        <v>44927</v>
      </c>
      <c r="F7" s="21" t="s">
        <v>281</v>
      </c>
      <c r="G7" s="21" t="s">
        <v>523</v>
      </c>
      <c r="H7" s="21" t="s">
        <v>520</v>
      </c>
      <c r="I7" s="5" t="s">
        <v>661</v>
      </c>
      <c r="J7" s="21" t="s">
        <v>533</v>
      </c>
      <c r="K7" s="21" t="s">
        <v>536</v>
      </c>
      <c r="L7" s="23">
        <v>34245</v>
      </c>
      <c r="M7" s="23" t="s">
        <v>673</v>
      </c>
      <c r="N7" s="23">
        <v>30000</v>
      </c>
      <c r="O7" s="23">
        <v>35000</v>
      </c>
      <c r="P7" s="23">
        <v>40000</v>
      </c>
      <c r="Q7" s="24">
        <f>Table13[[#This Row],[Monthly Gross Salary]]/Table13[[#This Row],[Mid]]</f>
        <v>0.97842857142857143</v>
      </c>
      <c r="R7" s="23" t="str">
        <f t="shared" si="0"/>
        <v>Around Mid</v>
      </c>
      <c r="S7" s="23">
        <v>5</v>
      </c>
      <c r="T7" s="25">
        <f>INDEX('Merit Matrix'!$B$4:$F$8,
       MATCH($S7,'Merit Matrix'!$A$4:$A$8,0),
       MATCH(TRIM($R7),'Merit Matrix'!$B$3:$F$3,0))</f>
        <v>0.06</v>
      </c>
      <c r="U7" s="24">
        <f>Table13[[#This Row],[Salary increase %]]*Table13[[#This Row],[Monthly Gross Salary]]</f>
        <v>2054.6999999999998</v>
      </c>
      <c r="V7" s="23">
        <f>Table13[[#This Row],[Salary increase Amount]]+Table13[[#This Row],[Monthly Gross Salary]]</f>
        <v>36299.699999999997</v>
      </c>
      <c r="W7" s="75">
        <v>0.1</v>
      </c>
      <c r="X7" s="6">
        <f>Table13[[#This Row],[New Gross Salary]]*Table13[[#This Row],[STI %]]</f>
        <v>3629.97</v>
      </c>
      <c r="Y7" s="96">
        <v>1.5</v>
      </c>
      <c r="Z7" s="6">
        <f>Table13[[#This Row],[Target STI]]*Table13[[#This Row],[Multiplier]]</f>
        <v>5444.9549999999999</v>
      </c>
      <c r="AA7" s="26">
        <v>0.28000000000000003</v>
      </c>
      <c r="AB7" s="21" t="s">
        <v>6</v>
      </c>
      <c r="AC7" s="24">
        <f>(Table13[[#This Row],[New Gross Salary]]+Table13[[#This Row],[Final STI]])*Table13[[#This Row],[Tax %]]</f>
        <v>11688.503400000001</v>
      </c>
      <c r="AD7" s="24">
        <f>Table13[[#This Row],[New Gross Salary]]*5%</f>
        <v>1814.9849999999999</v>
      </c>
      <c r="AE7" s="21" cm="1">
        <f t="array" ref="AE7">_xlfn.XLOOKUP(AB7,{"A","B","C"},{500,800,1200})</f>
        <v>1200</v>
      </c>
      <c r="AF7" s="24">
        <f t="shared" si="1"/>
        <v>14703.488400000002</v>
      </c>
      <c r="AG7" s="27">
        <f>Table13[[#This Row],[New Gross Salary]]+Table13[[#This Row],[Final STI]]-Table13[[#This Row],[Total Deductions
(Tax+Pension+HP)]]</f>
        <v>27041.166599999997</v>
      </c>
    </row>
    <row r="8" spans="1:35" x14ac:dyDescent="0.2">
      <c r="A8" s="20">
        <v>1007</v>
      </c>
      <c r="B8" s="21" t="s">
        <v>16</v>
      </c>
      <c r="C8" s="21" t="s">
        <v>17</v>
      </c>
      <c r="D8" s="21" t="s">
        <v>558</v>
      </c>
      <c r="E8" s="22">
        <v>45292</v>
      </c>
      <c r="F8" s="21" t="s">
        <v>282</v>
      </c>
      <c r="G8" s="21" t="s">
        <v>524</v>
      </c>
      <c r="H8" s="21" t="s">
        <v>520</v>
      </c>
      <c r="I8" s="5" t="s">
        <v>661</v>
      </c>
      <c r="J8" s="21" t="s">
        <v>533</v>
      </c>
      <c r="K8" s="21" t="s">
        <v>536</v>
      </c>
      <c r="L8" s="23">
        <v>34245</v>
      </c>
      <c r="M8" s="23" t="s">
        <v>673</v>
      </c>
      <c r="N8" s="23">
        <v>30000</v>
      </c>
      <c r="O8" s="23">
        <v>35000</v>
      </c>
      <c r="P8" s="23">
        <v>40000</v>
      </c>
      <c r="Q8" s="24">
        <f>Table13[[#This Row],[Monthly Gross Salary]]/Table13[[#This Row],[Mid]]</f>
        <v>0.97842857142857143</v>
      </c>
      <c r="R8" s="23" t="str">
        <f t="shared" si="0"/>
        <v>Around Mid</v>
      </c>
      <c r="S8" s="23">
        <v>5</v>
      </c>
      <c r="T8" s="25">
        <f>INDEX('Merit Matrix'!$B$4:$F$8,
       MATCH($S8,'Merit Matrix'!$A$4:$A$8,0),
       MATCH(TRIM($R8),'Merit Matrix'!$B$3:$F$3,0))</f>
        <v>0.06</v>
      </c>
      <c r="U8" s="24">
        <f>Table13[[#This Row],[Salary increase %]]*Table13[[#This Row],[Monthly Gross Salary]]</f>
        <v>2054.6999999999998</v>
      </c>
      <c r="V8" s="23">
        <f>Table13[[#This Row],[Salary increase Amount]]+Table13[[#This Row],[Monthly Gross Salary]]</f>
        <v>36299.699999999997</v>
      </c>
      <c r="W8" s="75">
        <v>0.1</v>
      </c>
      <c r="X8" s="6">
        <f>Table13[[#This Row],[New Gross Salary]]*Table13[[#This Row],[STI %]]</f>
        <v>3629.97</v>
      </c>
      <c r="Y8" s="96">
        <v>1.5</v>
      </c>
      <c r="Z8" s="6">
        <f>Table13[[#This Row],[Target STI]]*Table13[[#This Row],[Multiplier]]</f>
        <v>5444.9549999999999</v>
      </c>
      <c r="AA8" s="26">
        <v>0.28999999999999998</v>
      </c>
      <c r="AB8" s="21" t="s">
        <v>18</v>
      </c>
      <c r="AC8" s="24">
        <f>(Table13[[#This Row],[New Gross Salary]]+Table13[[#This Row],[Final STI]])*Table13[[#This Row],[Tax %]]</f>
        <v>12105.949949999998</v>
      </c>
      <c r="AD8" s="24">
        <f>Table13[[#This Row],[New Gross Salary]]*5%</f>
        <v>1814.9849999999999</v>
      </c>
      <c r="AE8" s="21" cm="1">
        <f t="array" ref="AE8">_xlfn.XLOOKUP(AB8,{"A","B","C"},{500,800,1200})</f>
        <v>500</v>
      </c>
      <c r="AF8" s="24">
        <f t="shared" si="1"/>
        <v>14420.934949999999</v>
      </c>
      <c r="AG8" s="27">
        <f>Table13[[#This Row],[New Gross Salary]]+Table13[[#This Row],[Final STI]]-Table13[[#This Row],[Total Deductions
(Tax+Pension+HP)]]</f>
        <v>27323.72005</v>
      </c>
    </row>
    <row r="9" spans="1:35" x14ac:dyDescent="0.2">
      <c r="A9" s="20">
        <v>1008</v>
      </c>
      <c r="B9" s="21" t="s">
        <v>19</v>
      </c>
      <c r="C9" s="21" t="s">
        <v>5</v>
      </c>
      <c r="D9" s="21" t="s">
        <v>548</v>
      </c>
      <c r="E9" s="22">
        <v>44927</v>
      </c>
      <c r="F9" s="21" t="s">
        <v>283</v>
      </c>
      <c r="G9" s="21" t="s">
        <v>523</v>
      </c>
      <c r="H9" s="21" t="s">
        <v>520</v>
      </c>
      <c r="I9" s="5" t="s">
        <v>661</v>
      </c>
      <c r="J9" s="21" t="s">
        <v>533</v>
      </c>
      <c r="K9" s="21" t="s">
        <v>536</v>
      </c>
      <c r="L9" s="23">
        <v>34245</v>
      </c>
      <c r="M9" s="23" t="s">
        <v>673</v>
      </c>
      <c r="N9" s="23">
        <v>30000</v>
      </c>
      <c r="O9" s="23">
        <v>35000</v>
      </c>
      <c r="P9" s="23">
        <v>40000</v>
      </c>
      <c r="Q9" s="24">
        <f>Table13[[#This Row],[Monthly Gross Salary]]/Table13[[#This Row],[Mid]]</f>
        <v>0.97842857142857143</v>
      </c>
      <c r="R9" s="23" t="str">
        <f t="shared" si="0"/>
        <v>Around Mid</v>
      </c>
      <c r="S9" s="23">
        <v>5</v>
      </c>
      <c r="T9" s="25">
        <f>INDEX('Merit Matrix'!$B$4:$F$8,
       MATCH($S9,'Merit Matrix'!$A$4:$A$8,0),
       MATCH(TRIM($R9),'Merit Matrix'!$B$3:$F$3,0))</f>
        <v>0.06</v>
      </c>
      <c r="U9" s="24">
        <f>Table13[[#This Row],[Salary increase %]]*Table13[[#This Row],[Monthly Gross Salary]]</f>
        <v>2054.6999999999998</v>
      </c>
      <c r="V9" s="23">
        <f>Table13[[#This Row],[Salary increase Amount]]+Table13[[#This Row],[Monthly Gross Salary]]</f>
        <v>36299.699999999997</v>
      </c>
      <c r="W9" s="75">
        <v>0.1</v>
      </c>
      <c r="X9" s="6">
        <f>Table13[[#This Row],[New Gross Salary]]*Table13[[#This Row],[STI %]]</f>
        <v>3629.97</v>
      </c>
      <c r="Y9" s="96">
        <v>1.5</v>
      </c>
      <c r="Z9" s="6">
        <f>Table13[[#This Row],[Target STI]]*Table13[[#This Row],[Multiplier]]</f>
        <v>5444.9549999999999</v>
      </c>
      <c r="AA9" s="26">
        <v>0.3</v>
      </c>
      <c r="AB9" s="21" t="s">
        <v>6</v>
      </c>
      <c r="AC9" s="24">
        <f>(Table13[[#This Row],[New Gross Salary]]+Table13[[#This Row],[Final STI]])*Table13[[#This Row],[Tax %]]</f>
        <v>12523.396499999999</v>
      </c>
      <c r="AD9" s="24">
        <f>Table13[[#This Row],[New Gross Salary]]*5%</f>
        <v>1814.9849999999999</v>
      </c>
      <c r="AE9" s="21" cm="1">
        <f t="array" ref="AE9">_xlfn.XLOOKUP(AB9,{"A","B","C"},{500,800,1200})</f>
        <v>1200</v>
      </c>
      <c r="AF9" s="24">
        <f t="shared" si="1"/>
        <v>15538.3815</v>
      </c>
      <c r="AG9" s="27">
        <f>Table13[[#This Row],[New Gross Salary]]+Table13[[#This Row],[Final STI]]-Table13[[#This Row],[Total Deductions
(Tax+Pension+HP)]]</f>
        <v>26206.273499999999</v>
      </c>
    </row>
    <row r="10" spans="1:35" x14ac:dyDescent="0.2">
      <c r="A10" s="20">
        <v>1009</v>
      </c>
      <c r="B10" s="21" t="s">
        <v>20</v>
      </c>
      <c r="C10" s="21" t="s">
        <v>17</v>
      </c>
      <c r="D10" s="21" t="s">
        <v>558</v>
      </c>
      <c r="E10" s="22">
        <v>45292</v>
      </c>
      <c r="F10" s="21" t="s">
        <v>284</v>
      </c>
      <c r="G10" s="21" t="s">
        <v>524</v>
      </c>
      <c r="H10" s="21" t="s">
        <v>520</v>
      </c>
      <c r="I10" s="5" t="s">
        <v>661</v>
      </c>
      <c r="J10" s="21" t="s">
        <v>533</v>
      </c>
      <c r="K10" s="21" t="s">
        <v>536</v>
      </c>
      <c r="L10" s="23">
        <v>34245</v>
      </c>
      <c r="M10" s="23" t="s">
        <v>673</v>
      </c>
      <c r="N10" s="23">
        <v>30000</v>
      </c>
      <c r="O10" s="23">
        <v>35000</v>
      </c>
      <c r="P10" s="23">
        <v>40000</v>
      </c>
      <c r="Q10" s="24">
        <f>Table13[[#This Row],[Monthly Gross Salary]]/Table13[[#This Row],[Mid]]</f>
        <v>0.97842857142857143</v>
      </c>
      <c r="R10" s="23" t="str">
        <f t="shared" si="0"/>
        <v>Around Mid</v>
      </c>
      <c r="S10" s="23">
        <v>5</v>
      </c>
      <c r="T10" s="25">
        <f>INDEX('Merit Matrix'!$B$4:$F$8,
       MATCH($S10,'Merit Matrix'!$A$4:$A$8,0),
       MATCH(TRIM($R10),'Merit Matrix'!$B$3:$F$3,0))</f>
        <v>0.06</v>
      </c>
      <c r="U10" s="24">
        <f>Table13[[#This Row],[Salary increase %]]*Table13[[#This Row],[Monthly Gross Salary]]</f>
        <v>2054.6999999999998</v>
      </c>
      <c r="V10" s="23">
        <f>Table13[[#This Row],[Salary increase Amount]]+Table13[[#This Row],[Monthly Gross Salary]]</f>
        <v>36299.699999999997</v>
      </c>
      <c r="W10" s="75">
        <v>0.1</v>
      </c>
      <c r="X10" s="6">
        <f>Table13[[#This Row],[New Gross Salary]]*Table13[[#This Row],[STI %]]</f>
        <v>3629.97</v>
      </c>
      <c r="Y10" s="96">
        <v>1.5</v>
      </c>
      <c r="Z10" s="6">
        <f>Table13[[#This Row],[Target STI]]*Table13[[#This Row],[Multiplier]]</f>
        <v>5444.9549999999999</v>
      </c>
      <c r="AA10" s="26">
        <v>0.32</v>
      </c>
      <c r="AB10" s="21" t="s">
        <v>6</v>
      </c>
      <c r="AC10" s="24">
        <f>(Table13[[#This Row],[New Gross Salary]]+Table13[[#This Row],[Final STI]])*Table13[[#This Row],[Tax %]]</f>
        <v>13358.2896</v>
      </c>
      <c r="AD10" s="24">
        <f>Table13[[#This Row],[New Gross Salary]]*5%</f>
        <v>1814.9849999999999</v>
      </c>
      <c r="AE10" s="21" cm="1">
        <f t="array" ref="AE10">_xlfn.XLOOKUP(AB10,{"A","B","C"},{500,800,1200})</f>
        <v>1200</v>
      </c>
      <c r="AF10" s="24">
        <f t="shared" si="1"/>
        <v>16373.274600000001</v>
      </c>
      <c r="AG10" s="27">
        <f>Table13[[#This Row],[New Gross Salary]]+Table13[[#This Row],[Final STI]]-Table13[[#This Row],[Total Deductions
(Tax+Pension+HP)]]</f>
        <v>25371.380399999998</v>
      </c>
    </row>
    <row r="11" spans="1:35" x14ac:dyDescent="0.2">
      <c r="A11" s="20">
        <v>1010</v>
      </c>
      <c r="B11" s="21" t="s">
        <v>21</v>
      </c>
      <c r="C11" s="21" t="s">
        <v>11</v>
      </c>
      <c r="D11" s="21" t="s">
        <v>528</v>
      </c>
      <c r="E11" s="22">
        <v>45292</v>
      </c>
      <c r="F11" s="21" t="s">
        <v>285</v>
      </c>
      <c r="G11" s="21" t="s">
        <v>523</v>
      </c>
      <c r="H11" s="21" t="s">
        <v>520</v>
      </c>
      <c r="I11" s="5" t="s">
        <v>661</v>
      </c>
      <c r="J11" s="21" t="s">
        <v>533</v>
      </c>
      <c r="K11" s="21" t="s">
        <v>536</v>
      </c>
      <c r="L11" s="23">
        <v>34245</v>
      </c>
      <c r="M11" s="23" t="s">
        <v>673</v>
      </c>
      <c r="N11" s="23">
        <v>30000</v>
      </c>
      <c r="O11" s="23">
        <v>35000</v>
      </c>
      <c r="P11" s="23">
        <v>40000</v>
      </c>
      <c r="Q11" s="24">
        <f>Table13[[#This Row],[Monthly Gross Salary]]/Table13[[#This Row],[Mid]]</f>
        <v>0.97842857142857143</v>
      </c>
      <c r="R11" s="23" t="str">
        <f t="shared" si="0"/>
        <v>Around Mid</v>
      </c>
      <c r="S11" s="23">
        <v>5</v>
      </c>
      <c r="T11" s="25">
        <f>INDEX('Merit Matrix'!$B$4:$F$8,
       MATCH($S11,'Merit Matrix'!$A$4:$A$8,0),
       MATCH(TRIM($R11),'Merit Matrix'!$B$3:$F$3,0))</f>
        <v>0.06</v>
      </c>
      <c r="U11" s="24">
        <f>Table13[[#This Row],[Salary increase %]]*Table13[[#This Row],[Monthly Gross Salary]]</f>
        <v>2054.6999999999998</v>
      </c>
      <c r="V11" s="23">
        <f>Table13[[#This Row],[Salary increase Amount]]+Table13[[#This Row],[Monthly Gross Salary]]</f>
        <v>36299.699999999997</v>
      </c>
      <c r="W11" s="75">
        <v>0.1</v>
      </c>
      <c r="X11" s="6">
        <f>Table13[[#This Row],[New Gross Salary]]*Table13[[#This Row],[STI %]]</f>
        <v>3629.97</v>
      </c>
      <c r="Y11" s="96">
        <v>1.5</v>
      </c>
      <c r="Z11" s="6">
        <f>Table13[[#This Row],[Target STI]]*Table13[[#This Row],[Multiplier]]</f>
        <v>5444.9549999999999</v>
      </c>
      <c r="AA11" s="26">
        <v>0.32</v>
      </c>
      <c r="AB11" s="21" t="s">
        <v>18</v>
      </c>
      <c r="AC11" s="24">
        <f>(Table13[[#This Row],[New Gross Salary]]+Table13[[#This Row],[Final STI]])*Table13[[#This Row],[Tax %]]</f>
        <v>13358.2896</v>
      </c>
      <c r="AD11" s="24">
        <f>Table13[[#This Row],[New Gross Salary]]*5%</f>
        <v>1814.9849999999999</v>
      </c>
      <c r="AE11" s="21" cm="1">
        <f t="array" ref="AE11">_xlfn.XLOOKUP(AB11,{"A","B","C"},{500,800,1200})</f>
        <v>500</v>
      </c>
      <c r="AF11" s="24">
        <f t="shared" si="1"/>
        <v>15673.274600000001</v>
      </c>
      <c r="AG11" s="27">
        <f>Table13[[#This Row],[New Gross Salary]]+Table13[[#This Row],[Final STI]]-Table13[[#This Row],[Total Deductions
(Tax+Pension+HP)]]</f>
        <v>26071.380399999998</v>
      </c>
    </row>
    <row r="12" spans="1:35" x14ac:dyDescent="0.2">
      <c r="A12" s="20">
        <v>1011</v>
      </c>
      <c r="B12" s="21" t="s">
        <v>22</v>
      </c>
      <c r="C12" s="21" t="s">
        <v>5</v>
      </c>
      <c r="D12" s="21" t="s">
        <v>548</v>
      </c>
      <c r="E12" s="22">
        <v>44927</v>
      </c>
      <c r="F12" s="21" t="s">
        <v>286</v>
      </c>
      <c r="G12" s="21" t="s">
        <v>523</v>
      </c>
      <c r="H12" s="21" t="s">
        <v>520</v>
      </c>
      <c r="I12" s="5" t="s">
        <v>661</v>
      </c>
      <c r="J12" s="21" t="s">
        <v>533</v>
      </c>
      <c r="K12" s="21" t="s">
        <v>536</v>
      </c>
      <c r="L12" s="23">
        <v>34245</v>
      </c>
      <c r="M12" s="23" t="s">
        <v>673</v>
      </c>
      <c r="N12" s="23">
        <v>30000</v>
      </c>
      <c r="O12" s="23">
        <v>35000</v>
      </c>
      <c r="P12" s="23">
        <v>40000</v>
      </c>
      <c r="Q12" s="24">
        <f>Table13[[#This Row],[Monthly Gross Salary]]/Table13[[#This Row],[Mid]]</f>
        <v>0.97842857142857143</v>
      </c>
      <c r="R12" s="23" t="str">
        <f t="shared" si="0"/>
        <v>Around Mid</v>
      </c>
      <c r="S12" s="23">
        <v>5</v>
      </c>
      <c r="T12" s="25">
        <f>INDEX('Merit Matrix'!$B$4:$F$8,
       MATCH($S12,'Merit Matrix'!$A$4:$A$8,0),
       MATCH(TRIM($R12),'Merit Matrix'!$B$3:$F$3,0))</f>
        <v>0.06</v>
      </c>
      <c r="U12" s="24">
        <f>Table13[[#This Row],[Salary increase %]]*Table13[[#This Row],[Monthly Gross Salary]]</f>
        <v>2054.6999999999998</v>
      </c>
      <c r="V12" s="23">
        <f>Table13[[#This Row],[Salary increase Amount]]+Table13[[#This Row],[Monthly Gross Salary]]</f>
        <v>36299.699999999997</v>
      </c>
      <c r="W12" s="75">
        <v>0.1</v>
      </c>
      <c r="X12" s="6">
        <f>Table13[[#This Row],[New Gross Salary]]*Table13[[#This Row],[STI %]]</f>
        <v>3629.97</v>
      </c>
      <c r="Y12" s="96">
        <v>1.5</v>
      </c>
      <c r="Z12" s="6">
        <f>Table13[[#This Row],[Target STI]]*Table13[[#This Row],[Multiplier]]</f>
        <v>5444.9549999999999</v>
      </c>
      <c r="AA12" s="26">
        <v>0.3</v>
      </c>
      <c r="AB12" s="21" t="s">
        <v>18</v>
      </c>
      <c r="AC12" s="24">
        <f>(Table13[[#This Row],[New Gross Salary]]+Table13[[#This Row],[Final STI]])*Table13[[#This Row],[Tax %]]</f>
        <v>12523.396499999999</v>
      </c>
      <c r="AD12" s="24">
        <f>Table13[[#This Row],[New Gross Salary]]*5%</f>
        <v>1814.9849999999999</v>
      </c>
      <c r="AE12" s="21" cm="1">
        <f t="array" ref="AE12">_xlfn.XLOOKUP(AB12,{"A","B","C"},{500,800,1200})</f>
        <v>500</v>
      </c>
      <c r="AF12" s="24">
        <f t="shared" si="1"/>
        <v>14838.3815</v>
      </c>
      <c r="AG12" s="27">
        <f>Table13[[#This Row],[New Gross Salary]]+Table13[[#This Row],[Final STI]]-Table13[[#This Row],[Total Deductions
(Tax+Pension+HP)]]</f>
        <v>26906.273499999999</v>
      </c>
    </row>
    <row r="13" spans="1:35" x14ac:dyDescent="0.2">
      <c r="A13" s="20">
        <v>1012</v>
      </c>
      <c r="B13" s="21" t="s">
        <v>23</v>
      </c>
      <c r="C13" s="21" t="s">
        <v>5</v>
      </c>
      <c r="D13" s="21" t="s">
        <v>548</v>
      </c>
      <c r="E13" s="22">
        <v>44927</v>
      </c>
      <c r="F13" s="21" t="s">
        <v>287</v>
      </c>
      <c r="G13" s="21" t="s">
        <v>523</v>
      </c>
      <c r="H13" s="21" t="s">
        <v>520</v>
      </c>
      <c r="I13" s="5" t="s">
        <v>661</v>
      </c>
      <c r="J13" s="21" t="s">
        <v>533</v>
      </c>
      <c r="K13" s="21" t="s">
        <v>536</v>
      </c>
      <c r="L13" s="23">
        <v>34245</v>
      </c>
      <c r="M13" s="23" t="s">
        <v>673</v>
      </c>
      <c r="N13" s="23">
        <v>30000</v>
      </c>
      <c r="O13" s="23">
        <v>35000</v>
      </c>
      <c r="P13" s="23">
        <v>40000</v>
      </c>
      <c r="Q13" s="24">
        <f>Table13[[#This Row],[Monthly Gross Salary]]/Table13[[#This Row],[Mid]]</f>
        <v>0.97842857142857143</v>
      </c>
      <c r="R13" s="23" t="str">
        <f t="shared" si="0"/>
        <v>Around Mid</v>
      </c>
      <c r="S13" s="23">
        <v>5</v>
      </c>
      <c r="T13" s="25">
        <f>INDEX('Merit Matrix'!$B$4:$F$8,
       MATCH($S13,'Merit Matrix'!$A$4:$A$8,0),
       MATCH(TRIM($R13),'Merit Matrix'!$B$3:$F$3,0))</f>
        <v>0.06</v>
      </c>
      <c r="U13" s="24">
        <f>Table13[[#This Row],[Salary increase %]]*Table13[[#This Row],[Monthly Gross Salary]]</f>
        <v>2054.6999999999998</v>
      </c>
      <c r="V13" s="23">
        <f>Table13[[#This Row],[Salary increase Amount]]+Table13[[#This Row],[Monthly Gross Salary]]</f>
        <v>36299.699999999997</v>
      </c>
      <c r="W13" s="75">
        <v>0.1</v>
      </c>
      <c r="X13" s="6">
        <f>Table13[[#This Row],[New Gross Salary]]*Table13[[#This Row],[STI %]]</f>
        <v>3629.97</v>
      </c>
      <c r="Y13" s="96">
        <v>1.5</v>
      </c>
      <c r="Z13" s="6">
        <f>Table13[[#This Row],[Target STI]]*Table13[[#This Row],[Multiplier]]</f>
        <v>5444.9549999999999</v>
      </c>
      <c r="AA13" s="26">
        <v>0.3</v>
      </c>
      <c r="AB13" s="21" t="s">
        <v>6</v>
      </c>
      <c r="AC13" s="24">
        <f>(Table13[[#This Row],[New Gross Salary]]+Table13[[#This Row],[Final STI]])*Table13[[#This Row],[Tax %]]</f>
        <v>12523.396499999999</v>
      </c>
      <c r="AD13" s="24">
        <f>Table13[[#This Row],[New Gross Salary]]*5%</f>
        <v>1814.9849999999999</v>
      </c>
      <c r="AE13" s="21" cm="1">
        <f t="array" ref="AE13">_xlfn.XLOOKUP(AB13,{"A","B","C"},{500,800,1200})</f>
        <v>1200</v>
      </c>
      <c r="AF13" s="24">
        <f t="shared" si="1"/>
        <v>15538.3815</v>
      </c>
      <c r="AG13" s="27">
        <f>Table13[[#This Row],[New Gross Salary]]+Table13[[#This Row],[Final STI]]-Table13[[#This Row],[Total Deductions
(Tax+Pension+HP)]]</f>
        <v>26206.273499999999</v>
      </c>
    </row>
    <row r="14" spans="1:35" x14ac:dyDescent="0.2">
      <c r="A14" s="20">
        <v>1013</v>
      </c>
      <c r="B14" s="21" t="s">
        <v>24</v>
      </c>
      <c r="C14" s="21" t="s">
        <v>11</v>
      </c>
      <c r="D14" s="21" t="s">
        <v>528</v>
      </c>
      <c r="E14" s="22">
        <v>45292</v>
      </c>
      <c r="F14" s="21" t="s">
        <v>288</v>
      </c>
      <c r="G14" s="21" t="s">
        <v>523</v>
      </c>
      <c r="H14" s="21" t="s">
        <v>520</v>
      </c>
      <c r="I14" s="5" t="s">
        <v>661</v>
      </c>
      <c r="J14" s="21" t="s">
        <v>533</v>
      </c>
      <c r="K14" s="21" t="s">
        <v>536</v>
      </c>
      <c r="L14" s="23">
        <v>34245</v>
      </c>
      <c r="M14" s="23" t="s">
        <v>673</v>
      </c>
      <c r="N14" s="23">
        <v>30000</v>
      </c>
      <c r="O14" s="23">
        <v>35000</v>
      </c>
      <c r="P14" s="23">
        <v>40000</v>
      </c>
      <c r="Q14" s="24">
        <f>Table13[[#This Row],[Monthly Gross Salary]]/Table13[[#This Row],[Mid]]</f>
        <v>0.97842857142857143</v>
      </c>
      <c r="R14" s="23" t="str">
        <f t="shared" si="0"/>
        <v>Around Mid</v>
      </c>
      <c r="S14" s="23">
        <v>5</v>
      </c>
      <c r="T14" s="25">
        <f>INDEX('Merit Matrix'!$B$4:$F$8,
       MATCH($S14,'Merit Matrix'!$A$4:$A$8,0),
       MATCH(TRIM($R14),'Merit Matrix'!$B$3:$F$3,0))</f>
        <v>0.06</v>
      </c>
      <c r="U14" s="24">
        <f>Table13[[#This Row],[Salary increase %]]*Table13[[#This Row],[Monthly Gross Salary]]</f>
        <v>2054.6999999999998</v>
      </c>
      <c r="V14" s="23">
        <f>Table13[[#This Row],[Salary increase Amount]]+Table13[[#This Row],[Monthly Gross Salary]]</f>
        <v>36299.699999999997</v>
      </c>
      <c r="W14" s="75">
        <v>0.1</v>
      </c>
      <c r="X14" s="6">
        <f>Table13[[#This Row],[New Gross Salary]]*Table13[[#This Row],[STI %]]</f>
        <v>3629.97</v>
      </c>
      <c r="Y14" s="96">
        <v>1.5</v>
      </c>
      <c r="Z14" s="6">
        <f>Table13[[#This Row],[Target STI]]*Table13[[#This Row],[Multiplier]]</f>
        <v>5444.9549999999999</v>
      </c>
      <c r="AA14" s="26">
        <v>0.31</v>
      </c>
      <c r="AB14" s="21" t="s">
        <v>9</v>
      </c>
      <c r="AC14" s="24">
        <f>(Table13[[#This Row],[New Gross Salary]]+Table13[[#This Row],[Final STI]])*Table13[[#This Row],[Tax %]]</f>
        <v>12940.843049999999</v>
      </c>
      <c r="AD14" s="24">
        <f>Table13[[#This Row],[New Gross Salary]]*5%</f>
        <v>1814.9849999999999</v>
      </c>
      <c r="AE14" s="21" cm="1">
        <f t="array" ref="AE14">_xlfn.XLOOKUP(AB14,{"A","B","C"},{500,800,1200})</f>
        <v>800</v>
      </c>
      <c r="AF14" s="24">
        <f t="shared" si="1"/>
        <v>15555.82805</v>
      </c>
      <c r="AG14" s="27">
        <f>Table13[[#This Row],[New Gross Salary]]+Table13[[#This Row],[Final STI]]-Table13[[#This Row],[Total Deductions
(Tax+Pension+HP)]]</f>
        <v>26188.826949999999</v>
      </c>
    </row>
    <row r="15" spans="1:35" x14ac:dyDescent="0.2">
      <c r="A15" s="20">
        <v>1014</v>
      </c>
      <c r="B15" s="21" t="s">
        <v>25</v>
      </c>
      <c r="C15" s="21" t="s">
        <v>5</v>
      </c>
      <c r="D15" s="21" t="s">
        <v>548</v>
      </c>
      <c r="E15" s="22">
        <v>44927</v>
      </c>
      <c r="F15" s="21" t="s">
        <v>289</v>
      </c>
      <c r="G15" s="21" t="s">
        <v>523</v>
      </c>
      <c r="H15" s="21" t="s">
        <v>520</v>
      </c>
      <c r="I15" s="5" t="s">
        <v>661</v>
      </c>
      <c r="J15" s="21" t="s">
        <v>533</v>
      </c>
      <c r="K15" s="21" t="s">
        <v>536</v>
      </c>
      <c r="L15" s="23">
        <v>34245</v>
      </c>
      <c r="M15" s="23" t="s">
        <v>673</v>
      </c>
      <c r="N15" s="23">
        <v>30000</v>
      </c>
      <c r="O15" s="23">
        <v>35000</v>
      </c>
      <c r="P15" s="23">
        <v>40000</v>
      </c>
      <c r="Q15" s="24">
        <f>Table13[[#This Row],[Monthly Gross Salary]]/Table13[[#This Row],[Mid]]</f>
        <v>0.97842857142857143</v>
      </c>
      <c r="R15" s="23" t="str">
        <f t="shared" si="0"/>
        <v>Around Mid</v>
      </c>
      <c r="S15" s="23">
        <v>5</v>
      </c>
      <c r="T15" s="25">
        <f>INDEX('Merit Matrix'!$B$4:$F$8,
       MATCH($S15,'Merit Matrix'!$A$4:$A$8,0),
       MATCH(TRIM($R15),'Merit Matrix'!$B$3:$F$3,0))</f>
        <v>0.06</v>
      </c>
      <c r="U15" s="24">
        <f>Table13[[#This Row],[Salary increase %]]*Table13[[#This Row],[Monthly Gross Salary]]</f>
        <v>2054.6999999999998</v>
      </c>
      <c r="V15" s="23">
        <f>Table13[[#This Row],[Salary increase Amount]]+Table13[[#This Row],[Monthly Gross Salary]]</f>
        <v>36299.699999999997</v>
      </c>
      <c r="W15" s="75">
        <v>0.1</v>
      </c>
      <c r="X15" s="6">
        <f>Table13[[#This Row],[New Gross Salary]]*Table13[[#This Row],[STI %]]</f>
        <v>3629.97</v>
      </c>
      <c r="Y15" s="96">
        <v>1.5</v>
      </c>
      <c r="Z15" s="6">
        <f>Table13[[#This Row],[Target STI]]*Table13[[#This Row],[Multiplier]]</f>
        <v>5444.9549999999999</v>
      </c>
      <c r="AA15" s="26">
        <v>0.31</v>
      </c>
      <c r="AB15" s="21" t="s">
        <v>18</v>
      </c>
      <c r="AC15" s="24">
        <f>(Table13[[#This Row],[New Gross Salary]]+Table13[[#This Row],[Final STI]])*Table13[[#This Row],[Tax %]]</f>
        <v>12940.843049999999</v>
      </c>
      <c r="AD15" s="24">
        <f>Table13[[#This Row],[New Gross Salary]]*5%</f>
        <v>1814.9849999999999</v>
      </c>
      <c r="AE15" s="21" cm="1">
        <f t="array" ref="AE15">_xlfn.XLOOKUP(AB15,{"A","B","C"},{500,800,1200})</f>
        <v>500</v>
      </c>
      <c r="AF15" s="24">
        <f t="shared" si="1"/>
        <v>15255.82805</v>
      </c>
      <c r="AG15" s="27">
        <f>Table13[[#This Row],[New Gross Salary]]+Table13[[#This Row],[Final STI]]-Table13[[#This Row],[Total Deductions
(Tax+Pension+HP)]]</f>
        <v>26488.826949999999</v>
      </c>
    </row>
    <row r="16" spans="1:35" x14ac:dyDescent="0.2">
      <c r="A16" s="20">
        <v>1015</v>
      </c>
      <c r="B16" s="21" t="s">
        <v>26</v>
      </c>
      <c r="C16" s="21" t="s">
        <v>8</v>
      </c>
      <c r="D16" s="21" t="s">
        <v>542</v>
      </c>
      <c r="E16" s="22">
        <v>45292</v>
      </c>
      <c r="F16" s="21" t="s">
        <v>290</v>
      </c>
      <c r="G16" s="21" t="s">
        <v>523</v>
      </c>
      <c r="H16" s="21" t="s">
        <v>520</v>
      </c>
      <c r="I16" s="5" t="s">
        <v>661</v>
      </c>
      <c r="J16" s="21" t="s">
        <v>533</v>
      </c>
      <c r="K16" s="21" t="s">
        <v>537</v>
      </c>
      <c r="L16" s="23">
        <v>41804</v>
      </c>
      <c r="M16" s="23" t="s">
        <v>673</v>
      </c>
      <c r="N16" s="23">
        <v>35000</v>
      </c>
      <c r="O16" s="23">
        <v>40000</v>
      </c>
      <c r="P16" s="23">
        <v>45000</v>
      </c>
      <c r="Q16" s="24">
        <f>Table13[[#This Row],[Monthly Gross Salary]]/Table13[[#This Row],[Mid]]</f>
        <v>1.0450999999999999</v>
      </c>
      <c r="R16" s="23" t="str">
        <f t="shared" si="0"/>
        <v>Around Mid</v>
      </c>
      <c r="S16" s="23">
        <v>5</v>
      </c>
      <c r="T16" s="25">
        <f>INDEX('Merit Matrix'!$B$4:$F$8,
       MATCH($S16,'Merit Matrix'!$A$4:$A$8,0),
       MATCH(TRIM($R16),'Merit Matrix'!$B$3:$F$3,0))</f>
        <v>0.06</v>
      </c>
      <c r="U16" s="24">
        <f>Table13[[#This Row],[Salary increase %]]*Table13[[#This Row],[Monthly Gross Salary]]</f>
        <v>2508.2399999999998</v>
      </c>
      <c r="V16" s="23">
        <f>Table13[[#This Row],[Salary increase Amount]]+Table13[[#This Row],[Monthly Gross Salary]]</f>
        <v>44312.24</v>
      </c>
      <c r="W16" s="75">
        <v>0.1</v>
      </c>
      <c r="X16" s="6">
        <f>Table13[[#This Row],[New Gross Salary]]*Table13[[#This Row],[STI %]]</f>
        <v>4431.2240000000002</v>
      </c>
      <c r="Y16" s="96">
        <v>1.5</v>
      </c>
      <c r="Z16" s="6">
        <f>Table13[[#This Row],[Target STI]]*Table13[[#This Row],[Multiplier]]</f>
        <v>6646.8360000000002</v>
      </c>
      <c r="AA16" s="26">
        <v>0.32</v>
      </c>
      <c r="AB16" s="21" t="s">
        <v>9</v>
      </c>
      <c r="AC16" s="24">
        <f>(Table13[[#This Row],[New Gross Salary]]+Table13[[#This Row],[Final STI]])*Table13[[#This Row],[Tax %]]</f>
        <v>16306.904320000001</v>
      </c>
      <c r="AD16" s="24">
        <f>Table13[[#This Row],[New Gross Salary]]*5%</f>
        <v>2215.6120000000001</v>
      </c>
      <c r="AE16" s="21" cm="1">
        <f t="array" ref="AE16">_xlfn.XLOOKUP(AB16,{"A","B","C"},{500,800,1200})</f>
        <v>800</v>
      </c>
      <c r="AF16" s="24">
        <f t="shared" si="1"/>
        <v>19322.516320000002</v>
      </c>
      <c r="AG16" s="27">
        <f>Table13[[#This Row],[New Gross Salary]]+Table13[[#This Row],[Final STI]]-Table13[[#This Row],[Total Deductions
(Tax+Pension+HP)]]</f>
        <v>31636.559679999998</v>
      </c>
    </row>
    <row r="17" spans="1:33" x14ac:dyDescent="0.2">
      <c r="A17" s="20">
        <v>1016</v>
      </c>
      <c r="B17" s="21" t="s">
        <v>27</v>
      </c>
      <c r="C17" s="21" t="s">
        <v>14</v>
      </c>
      <c r="D17" s="21" t="s">
        <v>552</v>
      </c>
      <c r="E17" s="22">
        <v>44927</v>
      </c>
      <c r="F17" s="21" t="s">
        <v>291</v>
      </c>
      <c r="G17" s="21" t="s">
        <v>523</v>
      </c>
      <c r="H17" s="21" t="s">
        <v>520</v>
      </c>
      <c r="I17" s="5" t="s">
        <v>661</v>
      </c>
      <c r="J17" s="21" t="s">
        <v>533</v>
      </c>
      <c r="K17" s="21" t="s">
        <v>536</v>
      </c>
      <c r="L17" s="23">
        <v>34245</v>
      </c>
      <c r="M17" s="23" t="s">
        <v>673</v>
      </c>
      <c r="N17" s="23">
        <v>30000</v>
      </c>
      <c r="O17" s="23">
        <v>35000</v>
      </c>
      <c r="P17" s="23">
        <v>40000</v>
      </c>
      <c r="Q17" s="24">
        <f>Table13[[#This Row],[Monthly Gross Salary]]/Table13[[#This Row],[Mid]]</f>
        <v>0.97842857142857143</v>
      </c>
      <c r="R17" s="23" t="str">
        <f t="shared" si="0"/>
        <v>Around Mid</v>
      </c>
      <c r="S17" s="23">
        <v>5</v>
      </c>
      <c r="T17" s="25">
        <f>INDEX('Merit Matrix'!$B$4:$F$8,
       MATCH($S17,'Merit Matrix'!$A$4:$A$8,0),
       MATCH(TRIM($R17),'Merit Matrix'!$B$3:$F$3,0))</f>
        <v>0.06</v>
      </c>
      <c r="U17" s="24">
        <f>Table13[[#This Row],[Salary increase %]]*Table13[[#This Row],[Monthly Gross Salary]]</f>
        <v>2054.6999999999998</v>
      </c>
      <c r="V17" s="23">
        <f>Table13[[#This Row],[Salary increase Amount]]+Table13[[#This Row],[Monthly Gross Salary]]</f>
        <v>36299.699999999997</v>
      </c>
      <c r="W17" s="75">
        <v>0.1</v>
      </c>
      <c r="X17" s="6">
        <f>Table13[[#This Row],[New Gross Salary]]*Table13[[#This Row],[STI %]]</f>
        <v>3629.97</v>
      </c>
      <c r="Y17" s="96">
        <v>1.5</v>
      </c>
      <c r="Z17" s="6">
        <f>Table13[[#This Row],[Target STI]]*Table13[[#This Row],[Multiplier]]</f>
        <v>5444.9549999999999</v>
      </c>
      <c r="AA17" s="26">
        <v>0.32</v>
      </c>
      <c r="AB17" s="21" t="s">
        <v>6</v>
      </c>
      <c r="AC17" s="24">
        <f>(Table13[[#This Row],[New Gross Salary]]+Table13[[#This Row],[Final STI]])*Table13[[#This Row],[Tax %]]</f>
        <v>13358.2896</v>
      </c>
      <c r="AD17" s="24">
        <f>Table13[[#This Row],[New Gross Salary]]*5%</f>
        <v>1814.9849999999999</v>
      </c>
      <c r="AE17" s="21" cm="1">
        <f t="array" ref="AE17">_xlfn.XLOOKUP(AB17,{"A","B","C"},{500,800,1200})</f>
        <v>1200</v>
      </c>
      <c r="AF17" s="24">
        <f t="shared" si="1"/>
        <v>16373.274600000001</v>
      </c>
      <c r="AG17" s="27">
        <f>Table13[[#This Row],[New Gross Salary]]+Table13[[#This Row],[Final STI]]-Table13[[#This Row],[Total Deductions
(Tax+Pension+HP)]]</f>
        <v>25371.380399999998</v>
      </c>
    </row>
    <row r="18" spans="1:33" x14ac:dyDescent="0.2">
      <c r="A18" s="20">
        <v>1017</v>
      </c>
      <c r="B18" s="21" t="s">
        <v>28</v>
      </c>
      <c r="C18" s="21" t="s">
        <v>14</v>
      </c>
      <c r="D18" s="21" t="s">
        <v>552</v>
      </c>
      <c r="E18" s="22">
        <v>44927</v>
      </c>
      <c r="F18" s="21" t="s">
        <v>292</v>
      </c>
      <c r="G18" s="21" t="s">
        <v>523</v>
      </c>
      <c r="H18" s="21" t="s">
        <v>520</v>
      </c>
      <c r="I18" s="5" t="s">
        <v>661</v>
      </c>
      <c r="J18" s="21" t="s">
        <v>533</v>
      </c>
      <c r="K18" s="21" t="s">
        <v>536</v>
      </c>
      <c r="L18" s="23">
        <v>34245</v>
      </c>
      <c r="M18" s="23" t="s">
        <v>673</v>
      </c>
      <c r="N18" s="23">
        <v>30000</v>
      </c>
      <c r="O18" s="23">
        <v>35000</v>
      </c>
      <c r="P18" s="23">
        <v>40000</v>
      </c>
      <c r="Q18" s="24">
        <f>Table13[[#This Row],[Monthly Gross Salary]]/Table13[[#This Row],[Mid]]</f>
        <v>0.97842857142857143</v>
      </c>
      <c r="R18" s="23" t="str">
        <f t="shared" si="0"/>
        <v>Around Mid</v>
      </c>
      <c r="S18" s="23">
        <v>5</v>
      </c>
      <c r="T18" s="25">
        <f>INDEX('Merit Matrix'!$B$4:$F$8,
       MATCH($S18,'Merit Matrix'!$A$4:$A$8,0),
       MATCH(TRIM($R18),'Merit Matrix'!$B$3:$F$3,0))</f>
        <v>0.06</v>
      </c>
      <c r="U18" s="24">
        <f>Table13[[#This Row],[Salary increase %]]*Table13[[#This Row],[Monthly Gross Salary]]</f>
        <v>2054.6999999999998</v>
      </c>
      <c r="V18" s="23">
        <f>Table13[[#This Row],[Salary increase Amount]]+Table13[[#This Row],[Monthly Gross Salary]]</f>
        <v>36299.699999999997</v>
      </c>
      <c r="W18" s="75">
        <v>0.1</v>
      </c>
      <c r="X18" s="6">
        <f>Table13[[#This Row],[New Gross Salary]]*Table13[[#This Row],[STI %]]</f>
        <v>3629.97</v>
      </c>
      <c r="Y18" s="96">
        <v>1.5</v>
      </c>
      <c r="Z18" s="6">
        <f>Table13[[#This Row],[Target STI]]*Table13[[#This Row],[Multiplier]]</f>
        <v>5444.9549999999999</v>
      </c>
      <c r="AA18" s="26">
        <v>0.32</v>
      </c>
      <c r="AB18" s="21" t="s">
        <v>6</v>
      </c>
      <c r="AC18" s="24">
        <f>(Table13[[#This Row],[New Gross Salary]]+Table13[[#This Row],[Final STI]])*Table13[[#This Row],[Tax %]]</f>
        <v>13358.2896</v>
      </c>
      <c r="AD18" s="24">
        <f>Table13[[#This Row],[New Gross Salary]]*5%</f>
        <v>1814.9849999999999</v>
      </c>
      <c r="AE18" s="21" cm="1">
        <f t="array" ref="AE18">_xlfn.XLOOKUP(AB18,{"A","B","C"},{500,800,1200})</f>
        <v>1200</v>
      </c>
      <c r="AF18" s="24">
        <f t="shared" si="1"/>
        <v>16373.274600000001</v>
      </c>
      <c r="AG18" s="27">
        <f>Table13[[#This Row],[New Gross Salary]]+Table13[[#This Row],[Final STI]]-Table13[[#This Row],[Total Deductions
(Tax+Pension+HP)]]</f>
        <v>25371.380399999998</v>
      </c>
    </row>
    <row r="19" spans="1:33" x14ac:dyDescent="0.2">
      <c r="A19" s="20">
        <v>1018</v>
      </c>
      <c r="B19" s="21" t="s">
        <v>29</v>
      </c>
      <c r="C19" s="21" t="s">
        <v>17</v>
      </c>
      <c r="D19" s="21" t="s">
        <v>558</v>
      </c>
      <c r="E19" s="22">
        <v>45292</v>
      </c>
      <c r="F19" s="21" t="s">
        <v>293</v>
      </c>
      <c r="G19" s="21" t="s">
        <v>524</v>
      </c>
      <c r="H19" s="21" t="s">
        <v>520</v>
      </c>
      <c r="I19" s="5" t="s">
        <v>661</v>
      </c>
      <c r="J19" s="21" t="s">
        <v>533</v>
      </c>
      <c r="K19" s="21" t="s">
        <v>536</v>
      </c>
      <c r="L19" s="23">
        <v>34245</v>
      </c>
      <c r="M19" s="23" t="s">
        <v>673</v>
      </c>
      <c r="N19" s="23">
        <v>30000</v>
      </c>
      <c r="O19" s="23">
        <v>35000</v>
      </c>
      <c r="P19" s="23">
        <v>40000</v>
      </c>
      <c r="Q19" s="24">
        <f>Table13[[#This Row],[Monthly Gross Salary]]/Table13[[#This Row],[Mid]]</f>
        <v>0.97842857142857143</v>
      </c>
      <c r="R19" s="23" t="str">
        <f t="shared" si="0"/>
        <v>Around Mid</v>
      </c>
      <c r="S19" s="23">
        <v>5</v>
      </c>
      <c r="T19" s="25">
        <f>INDEX('Merit Matrix'!$B$4:$F$8,
       MATCH($S19,'Merit Matrix'!$A$4:$A$8,0),
       MATCH(TRIM($R19),'Merit Matrix'!$B$3:$F$3,0))</f>
        <v>0.06</v>
      </c>
      <c r="U19" s="24">
        <f>Table13[[#This Row],[Salary increase %]]*Table13[[#This Row],[Monthly Gross Salary]]</f>
        <v>2054.6999999999998</v>
      </c>
      <c r="V19" s="23">
        <f>Table13[[#This Row],[Salary increase Amount]]+Table13[[#This Row],[Monthly Gross Salary]]</f>
        <v>36299.699999999997</v>
      </c>
      <c r="W19" s="75">
        <v>0.1</v>
      </c>
      <c r="X19" s="6">
        <f>Table13[[#This Row],[New Gross Salary]]*Table13[[#This Row],[STI %]]</f>
        <v>3629.97</v>
      </c>
      <c r="Y19" s="96">
        <v>1.5</v>
      </c>
      <c r="Z19" s="6">
        <f>Table13[[#This Row],[Target STI]]*Table13[[#This Row],[Multiplier]]</f>
        <v>5444.9549999999999</v>
      </c>
      <c r="AA19" s="26">
        <v>0.28000000000000003</v>
      </c>
      <c r="AB19" s="21" t="s">
        <v>6</v>
      </c>
      <c r="AC19" s="24">
        <f>(Table13[[#This Row],[New Gross Salary]]+Table13[[#This Row],[Final STI]])*Table13[[#This Row],[Tax %]]</f>
        <v>11688.503400000001</v>
      </c>
      <c r="AD19" s="24">
        <f>Table13[[#This Row],[New Gross Salary]]*5%</f>
        <v>1814.9849999999999</v>
      </c>
      <c r="AE19" s="21" cm="1">
        <f t="array" ref="AE19">_xlfn.XLOOKUP(AB19,{"A","B","C"},{500,800,1200})</f>
        <v>1200</v>
      </c>
      <c r="AF19" s="24">
        <f t="shared" si="1"/>
        <v>14703.488400000002</v>
      </c>
      <c r="AG19" s="27">
        <f>Table13[[#This Row],[New Gross Salary]]+Table13[[#This Row],[Final STI]]-Table13[[#This Row],[Total Deductions
(Tax+Pension+HP)]]</f>
        <v>27041.166599999997</v>
      </c>
    </row>
    <row r="20" spans="1:33" x14ac:dyDescent="0.2">
      <c r="A20" s="20">
        <v>1019</v>
      </c>
      <c r="B20" s="21" t="s">
        <v>30</v>
      </c>
      <c r="C20" s="21" t="s">
        <v>14</v>
      </c>
      <c r="D20" s="21" t="s">
        <v>552</v>
      </c>
      <c r="E20" s="22">
        <v>44927</v>
      </c>
      <c r="F20" s="21" t="s">
        <v>294</v>
      </c>
      <c r="G20" s="21" t="s">
        <v>523</v>
      </c>
      <c r="H20" s="21" t="s">
        <v>520</v>
      </c>
      <c r="I20" s="5" t="s">
        <v>661</v>
      </c>
      <c r="J20" s="21" t="s">
        <v>533</v>
      </c>
      <c r="K20" s="21" t="s">
        <v>536</v>
      </c>
      <c r="L20" s="23">
        <v>34245</v>
      </c>
      <c r="M20" s="23" t="s">
        <v>673</v>
      </c>
      <c r="N20" s="23">
        <v>30000</v>
      </c>
      <c r="O20" s="23">
        <v>35000</v>
      </c>
      <c r="P20" s="23">
        <v>40000</v>
      </c>
      <c r="Q20" s="24">
        <f>Table13[[#This Row],[Monthly Gross Salary]]/Table13[[#This Row],[Mid]]</f>
        <v>0.97842857142857143</v>
      </c>
      <c r="R20" s="23" t="str">
        <f t="shared" si="0"/>
        <v>Around Mid</v>
      </c>
      <c r="S20" s="23">
        <v>5</v>
      </c>
      <c r="T20" s="25">
        <f>INDEX('Merit Matrix'!$B$4:$F$8,
       MATCH($S20,'Merit Matrix'!$A$4:$A$8,0),
       MATCH(TRIM($R20),'Merit Matrix'!$B$3:$F$3,0))</f>
        <v>0.06</v>
      </c>
      <c r="U20" s="24">
        <f>Table13[[#This Row],[Salary increase %]]*Table13[[#This Row],[Monthly Gross Salary]]</f>
        <v>2054.6999999999998</v>
      </c>
      <c r="V20" s="23">
        <f>Table13[[#This Row],[Salary increase Amount]]+Table13[[#This Row],[Monthly Gross Salary]]</f>
        <v>36299.699999999997</v>
      </c>
      <c r="W20" s="75">
        <v>0.1</v>
      </c>
      <c r="X20" s="6">
        <f>Table13[[#This Row],[New Gross Salary]]*Table13[[#This Row],[STI %]]</f>
        <v>3629.97</v>
      </c>
      <c r="Y20" s="96">
        <v>1.5</v>
      </c>
      <c r="Z20" s="6">
        <f>Table13[[#This Row],[Target STI]]*Table13[[#This Row],[Multiplier]]</f>
        <v>5444.9549999999999</v>
      </c>
      <c r="AA20" s="26">
        <v>0.31</v>
      </c>
      <c r="AB20" s="21" t="s">
        <v>18</v>
      </c>
      <c r="AC20" s="24">
        <f>(Table13[[#This Row],[New Gross Salary]]+Table13[[#This Row],[Final STI]])*Table13[[#This Row],[Tax %]]</f>
        <v>12940.843049999999</v>
      </c>
      <c r="AD20" s="24">
        <f>Table13[[#This Row],[New Gross Salary]]*5%</f>
        <v>1814.9849999999999</v>
      </c>
      <c r="AE20" s="21" cm="1">
        <f t="array" ref="AE20">_xlfn.XLOOKUP(AB20,{"A","B","C"},{500,800,1200})</f>
        <v>500</v>
      </c>
      <c r="AF20" s="24">
        <f t="shared" si="1"/>
        <v>15255.82805</v>
      </c>
      <c r="AG20" s="27">
        <f>Table13[[#This Row],[New Gross Salary]]+Table13[[#This Row],[Final STI]]-Table13[[#This Row],[Total Deductions
(Tax+Pension+HP)]]</f>
        <v>26488.826949999999</v>
      </c>
    </row>
    <row r="21" spans="1:33" x14ac:dyDescent="0.2">
      <c r="A21" s="20">
        <v>1020</v>
      </c>
      <c r="B21" s="21" t="s">
        <v>31</v>
      </c>
      <c r="C21" s="21" t="s">
        <v>14</v>
      </c>
      <c r="D21" s="21" t="s">
        <v>552</v>
      </c>
      <c r="E21" s="22">
        <v>44927</v>
      </c>
      <c r="F21" s="21" t="s">
        <v>295</v>
      </c>
      <c r="G21" s="21" t="s">
        <v>523</v>
      </c>
      <c r="H21" s="21" t="s">
        <v>520</v>
      </c>
      <c r="I21" s="5" t="s">
        <v>661</v>
      </c>
      <c r="J21" s="21" t="s">
        <v>533</v>
      </c>
      <c r="K21" s="21" t="s">
        <v>536</v>
      </c>
      <c r="L21" s="23">
        <v>34245</v>
      </c>
      <c r="M21" s="23" t="s">
        <v>673</v>
      </c>
      <c r="N21" s="23">
        <v>30000</v>
      </c>
      <c r="O21" s="23">
        <v>35000</v>
      </c>
      <c r="P21" s="23">
        <v>40000</v>
      </c>
      <c r="Q21" s="24">
        <f>Table13[[#This Row],[Monthly Gross Salary]]/Table13[[#This Row],[Mid]]</f>
        <v>0.97842857142857143</v>
      </c>
      <c r="R21" s="23" t="str">
        <f t="shared" si="0"/>
        <v>Around Mid</v>
      </c>
      <c r="S21" s="23">
        <v>5</v>
      </c>
      <c r="T21" s="25">
        <f>INDEX('Merit Matrix'!$B$4:$F$8,
       MATCH($S21,'Merit Matrix'!$A$4:$A$8,0),
       MATCH(TRIM($R21),'Merit Matrix'!$B$3:$F$3,0))</f>
        <v>0.06</v>
      </c>
      <c r="U21" s="24">
        <f>Table13[[#This Row],[Salary increase %]]*Table13[[#This Row],[Monthly Gross Salary]]</f>
        <v>2054.6999999999998</v>
      </c>
      <c r="V21" s="23">
        <f>Table13[[#This Row],[Salary increase Amount]]+Table13[[#This Row],[Monthly Gross Salary]]</f>
        <v>36299.699999999997</v>
      </c>
      <c r="W21" s="75">
        <v>0.1</v>
      </c>
      <c r="X21" s="6">
        <f>Table13[[#This Row],[New Gross Salary]]*Table13[[#This Row],[STI %]]</f>
        <v>3629.97</v>
      </c>
      <c r="Y21" s="96">
        <v>1.5</v>
      </c>
      <c r="Z21" s="6">
        <f>Table13[[#This Row],[Target STI]]*Table13[[#This Row],[Multiplier]]</f>
        <v>5444.9549999999999</v>
      </c>
      <c r="AA21" s="26">
        <v>0.31</v>
      </c>
      <c r="AB21" s="21" t="s">
        <v>9</v>
      </c>
      <c r="AC21" s="24">
        <f>(Table13[[#This Row],[New Gross Salary]]+Table13[[#This Row],[Final STI]])*Table13[[#This Row],[Tax %]]</f>
        <v>12940.843049999999</v>
      </c>
      <c r="AD21" s="24">
        <f>Table13[[#This Row],[New Gross Salary]]*5%</f>
        <v>1814.9849999999999</v>
      </c>
      <c r="AE21" s="21" cm="1">
        <f t="array" ref="AE21">_xlfn.XLOOKUP(AB21,{"A","B","C"},{500,800,1200})</f>
        <v>800</v>
      </c>
      <c r="AF21" s="24">
        <f t="shared" si="1"/>
        <v>15555.82805</v>
      </c>
      <c r="AG21" s="27">
        <f>Table13[[#This Row],[New Gross Salary]]+Table13[[#This Row],[Final STI]]-Table13[[#This Row],[Total Deductions
(Tax+Pension+HP)]]</f>
        <v>26188.826949999999</v>
      </c>
    </row>
    <row r="22" spans="1:33" x14ac:dyDescent="0.2">
      <c r="A22" s="20">
        <v>1021</v>
      </c>
      <c r="B22" s="21" t="s">
        <v>32</v>
      </c>
      <c r="C22" s="21" t="s">
        <v>14</v>
      </c>
      <c r="D22" s="21" t="s">
        <v>552</v>
      </c>
      <c r="E22" s="22">
        <v>44927</v>
      </c>
      <c r="F22" s="21" t="s">
        <v>296</v>
      </c>
      <c r="G22" s="21" t="s">
        <v>523</v>
      </c>
      <c r="H22" s="21" t="s">
        <v>520</v>
      </c>
      <c r="I22" s="5" t="s">
        <v>661</v>
      </c>
      <c r="J22" s="21" t="s">
        <v>533</v>
      </c>
      <c r="K22" s="21" t="s">
        <v>536</v>
      </c>
      <c r="L22" s="23">
        <v>34245</v>
      </c>
      <c r="M22" s="23" t="s">
        <v>673</v>
      </c>
      <c r="N22" s="23">
        <v>30000</v>
      </c>
      <c r="O22" s="23">
        <v>35000</v>
      </c>
      <c r="P22" s="23">
        <v>40000</v>
      </c>
      <c r="Q22" s="24">
        <f>Table13[[#This Row],[Monthly Gross Salary]]/Table13[[#This Row],[Mid]]</f>
        <v>0.97842857142857143</v>
      </c>
      <c r="R22" s="23" t="str">
        <f t="shared" si="0"/>
        <v>Around Mid</v>
      </c>
      <c r="S22" s="23">
        <v>5</v>
      </c>
      <c r="T22" s="25">
        <f>INDEX('Merit Matrix'!$B$4:$F$8,
       MATCH($S22,'Merit Matrix'!$A$4:$A$8,0),
       MATCH(TRIM($R22),'Merit Matrix'!$B$3:$F$3,0))</f>
        <v>0.06</v>
      </c>
      <c r="U22" s="24">
        <f>Table13[[#This Row],[Salary increase %]]*Table13[[#This Row],[Monthly Gross Salary]]</f>
        <v>2054.6999999999998</v>
      </c>
      <c r="V22" s="23">
        <f>Table13[[#This Row],[Salary increase Amount]]+Table13[[#This Row],[Monthly Gross Salary]]</f>
        <v>36299.699999999997</v>
      </c>
      <c r="W22" s="75">
        <v>0.1</v>
      </c>
      <c r="X22" s="6">
        <f>Table13[[#This Row],[New Gross Salary]]*Table13[[#This Row],[STI %]]</f>
        <v>3629.97</v>
      </c>
      <c r="Y22" s="96">
        <v>1.5</v>
      </c>
      <c r="Z22" s="6">
        <f>Table13[[#This Row],[Target STI]]*Table13[[#This Row],[Multiplier]]</f>
        <v>5444.9549999999999</v>
      </c>
      <c r="AA22" s="26">
        <v>0.28000000000000003</v>
      </c>
      <c r="AB22" s="21" t="s">
        <v>6</v>
      </c>
      <c r="AC22" s="24">
        <f>(Table13[[#This Row],[New Gross Salary]]+Table13[[#This Row],[Final STI]])*Table13[[#This Row],[Tax %]]</f>
        <v>11688.503400000001</v>
      </c>
      <c r="AD22" s="24">
        <f>Table13[[#This Row],[New Gross Salary]]*5%</f>
        <v>1814.9849999999999</v>
      </c>
      <c r="AE22" s="21" cm="1">
        <f t="array" ref="AE22">_xlfn.XLOOKUP(AB22,{"A","B","C"},{500,800,1200})</f>
        <v>1200</v>
      </c>
      <c r="AF22" s="24">
        <f t="shared" si="1"/>
        <v>14703.488400000002</v>
      </c>
      <c r="AG22" s="27">
        <f>Table13[[#This Row],[New Gross Salary]]+Table13[[#This Row],[Final STI]]-Table13[[#This Row],[Total Deductions
(Tax+Pension+HP)]]</f>
        <v>27041.166599999997</v>
      </c>
    </row>
    <row r="23" spans="1:33" x14ac:dyDescent="0.2">
      <c r="A23" s="20">
        <v>1022</v>
      </c>
      <c r="B23" s="21" t="s">
        <v>33</v>
      </c>
      <c r="C23" s="21" t="s">
        <v>14</v>
      </c>
      <c r="D23" s="21" t="s">
        <v>552</v>
      </c>
      <c r="E23" s="22">
        <v>44927</v>
      </c>
      <c r="F23" s="21" t="s">
        <v>297</v>
      </c>
      <c r="G23" s="21" t="s">
        <v>523</v>
      </c>
      <c r="H23" s="21" t="s">
        <v>520</v>
      </c>
      <c r="I23" s="5" t="s">
        <v>661</v>
      </c>
      <c r="J23" s="21" t="s">
        <v>533</v>
      </c>
      <c r="K23" s="21" t="s">
        <v>536</v>
      </c>
      <c r="L23" s="23">
        <v>34245</v>
      </c>
      <c r="M23" s="23" t="s">
        <v>673</v>
      </c>
      <c r="N23" s="23">
        <v>30000</v>
      </c>
      <c r="O23" s="23">
        <v>35000</v>
      </c>
      <c r="P23" s="23">
        <v>40000</v>
      </c>
      <c r="Q23" s="24">
        <f>Table13[[#This Row],[Monthly Gross Salary]]/Table13[[#This Row],[Mid]]</f>
        <v>0.97842857142857143</v>
      </c>
      <c r="R23" s="23" t="str">
        <f t="shared" si="0"/>
        <v>Around Mid</v>
      </c>
      <c r="S23" s="23">
        <v>5</v>
      </c>
      <c r="T23" s="25">
        <f>INDEX('Merit Matrix'!$B$4:$F$8,
       MATCH($S23,'Merit Matrix'!$A$4:$A$8,0),
       MATCH(TRIM($R23),'Merit Matrix'!$B$3:$F$3,0))</f>
        <v>0.06</v>
      </c>
      <c r="U23" s="24">
        <f>Table13[[#This Row],[Salary increase %]]*Table13[[#This Row],[Monthly Gross Salary]]</f>
        <v>2054.6999999999998</v>
      </c>
      <c r="V23" s="23">
        <f>Table13[[#This Row],[Salary increase Amount]]+Table13[[#This Row],[Monthly Gross Salary]]</f>
        <v>36299.699999999997</v>
      </c>
      <c r="W23" s="75">
        <v>0.1</v>
      </c>
      <c r="X23" s="6">
        <f>Table13[[#This Row],[New Gross Salary]]*Table13[[#This Row],[STI %]]</f>
        <v>3629.97</v>
      </c>
      <c r="Y23" s="96">
        <v>1.5</v>
      </c>
      <c r="Z23" s="6">
        <f>Table13[[#This Row],[Target STI]]*Table13[[#This Row],[Multiplier]]</f>
        <v>5444.9549999999999</v>
      </c>
      <c r="AA23" s="26">
        <v>0.27</v>
      </c>
      <c r="AB23" s="21" t="s">
        <v>6</v>
      </c>
      <c r="AC23" s="24">
        <f>(Table13[[#This Row],[New Gross Salary]]+Table13[[#This Row],[Final STI]])*Table13[[#This Row],[Tax %]]</f>
        <v>11271.056850000001</v>
      </c>
      <c r="AD23" s="24">
        <f>Table13[[#This Row],[New Gross Salary]]*5%</f>
        <v>1814.9849999999999</v>
      </c>
      <c r="AE23" s="21" cm="1">
        <f t="array" ref="AE23">_xlfn.XLOOKUP(AB23,{"A","B","C"},{500,800,1200})</f>
        <v>1200</v>
      </c>
      <c r="AF23" s="24">
        <f t="shared" si="1"/>
        <v>14286.041850000001</v>
      </c>
      <c r="AG23" s="27">
        <f>Table13[[#This Row],[New Gross Salary]]+Table13[[#This Row],[Final STI]]-Table13[[#This Row],[Total Deductions
(Tax+Pension+HP)]]</f>
        <v>27458.613149999997</v>
      </c>
    </row>
    <row r="24" spans="1:33" x14ac:dyDescent="0.2">
      <c r="A24" s="20">
        <v>1023</v>
      </c>
      <c r="B24" s="21" t="s">
        <v>34</v>
      </c>
      <c r="C24" s="21" t="s">
        <v>14</v>
      </c>
      <c r="D24" s="21" t="s">
        <v>552</v>
      </c>
      <c r="E24" s="22">
        <v>44927</v>
      </c>
      <c r="F24" s="21" t="s">
        <v>298</v>
      </c>
      <c r="G24" s="21" t="s">
        <v>523</v>
      </c>
      <c r="H24" s="21" t="s">
        <v>520</v>
      </c>
      <c r="I24" s="5" t="s">
        <v>661</v>
      </c>
      <c r="J24" s="21" t="s">
        <v>533</v>
      </c>
      <c r="K24" s="21" t="s">
        <v>536</v>
      </c>
      <c r="L24" s="23">
        <v>34245</v>
      </c>
      <c r="M24" s="23" t="s">
        <v>673</v>
      </c>
      <c r="N24" s="23">
        <v>30000</v>
      </c>
      <c r="O24" s="23">
        <v>35000</v>
      </c>
      <c r="P24" s="23">
        <v>40000</v>
      </c>
      <c r="Q24" s="24">
        <f>Table13[[#This Row],[Monthly Gross Salary]]/Table13[[#This Row],[Mid]]</f>
        <v>0.97842857142857143</v>
      </c>
      <c r="R24" s="23" t="str">
        <f t="shared" si="0"/>
        <v>Around Mid</v>
      </c>
      <c r="S24" s="23">
        <v>5</v>
      </c>
      <c r="T24" s="25">
        <f>INDEX('Merit Matrix'!$B$4:$F$8,
       MATCH($S24,'Merit Matrix'!$A$4:$A$8,0),
       MATCH(TRIM($R24),'Merit Matrix'!$B$3:$F$3,0))</f>
        <v>0.06</v>
      </c>
      <c r="U24" s="24">
        <f>Table13[[#This Row],[Salary increase %]]*Table13[[#This Row],[Monthly Gross Salary]]</f>
        <v>2054.6999999999998</v>
      </c>
      <c r="V24" s="23">
        <f>Table13[[#This Row],[Salary increase Amount]]+Table13[[#This Row],[Monthly Gross Salary]]</f>
        <v>36299.699999999997</v>
      </c>
      <c r="W24" s="75">
        <v>0.1</v>
      </c>
      <c r="X24" s="6">
        <f>Table13[[#This Row],[New Gross Salary]]*Table13[[#This Row],[STI %]]</f>
        <v>3629.97</v>
      </c>
      <c r="Y24" s="96">
        <v>1.5</v>
      </c>
      <c r="Z24" s="6">
        <f>Table13[[#This Row],[Target STI]]*Table13[[#This Row],[Multiplier]]</f>
        <v>5444.9549999999999</v>
      </c>
      <c r="AA24" s="26">
        <v>0.31</v>
      </c>
      <c r="AB24" s="21" t="s">
        <v>6</v>
      </c>
      <c r="AC24" s="24">
        <f>(Table13[[#This Row],[New Gross Salary]]+Table13[[#This Row],[Final STI]])*Table13[[#This Row],[Tax %]]</f>
        <v>12940.843049999999</v>
      </c>
      <c r="AD24" s="24">
        <f>Table13[[#This Row],[New Gross Salary]]*5%</f>
        <v>1814.9849999999999</v>
      </c>
      <c r="AE24" s="21" cm="1">
        <f t="array" ref="AE24">_xlfn.XLOOKUP(AB24,{"A","B","C"},{500,800,1200})</f>
        <v>1200</v>
      </c>
      <c r="AF24" s="24">
        <f t="shared" si="1"/>
        <v>15955.82805</v>
      </c>
      <c r="AG24" s="27">
        <f>Table13[[#This Row],[New Gross Salary]]+Table13[[#This Row],[Final STI]]-Table13[[#This Row],[Total Deductions
(Tax+Pension+HP)]]</f>
        <v>25788.826949999999</v>
      </c>
    </row>
    <row r="25" spans="1:33" x14ac:dyDescent="0.2">
      <c r="A25" s="20">
        <v>1024</v>
      </c>
      <c r="B25" s="21" t="s">
        <v>35</v>
      </c>
      <c r="C25" s="21" t="s">
        <v>5</v>
      </c>
      <c r="D25" s="21" t="s">
        <v>548</v>
      </c>
      <c r="E25" s="22">
        <v>44927</v>
      </c>
      <c r="F25" s="21" t="s">
        <v>299</v>
      </c>
      <c r="G25" s="21" t="s">
        <v>523</v>
      </c>
      <c r="H25" s="21" t="s">
        <v>520</v>
      </c>
      <c r="I25" s="5" t="s">
        <v>661</v>
      </c>
      <c r="J25" s="21" t="s">
        <v>533</v>
      </c>
      <c r="K25" s="21" t="s">
        <v>536</v>
      </c>
      <c r="L25" s="23">
        <v>34245</v>
      </c>
      <c r="M25" s="23" t="s">
        <v>673</v>
      </c>
      <c r="N25" s="23">
        <v>30000</v>
      </c>
      <c r="O25" s="23">
        <v>35000</v>
      </c>
      <c r="P25" s="23">
        <v>40000</v>
      </c>
      <c r="Q25" s="24">
        <f>Table13[[#This Row],[Monthly Gross Salary]]/Table13[[#This Row],[Mid]]</f>
        <v>0.97842857142857143</v>
      </c>
      <c r="R25" s="23" t="str">
        <f t="shared" si="0"/>
        <v>Around Mid</v>
      </c>
      <c r="S25" s="23">
        <v>5</v>
      </c>
      <c r="T25" s="25">
        <f>INDEX('Merit Matrix'!$B$4:$F$8,
       MATCH($S25,'Merit Matrix'!$A$4:$A$8,0),
       MATCH(TRIM($R25),'Merit Matrix'!$B$3:$F$3,0))</f>
        <v>0.06</v>
      </c>
      <c r="U25" s="24">
        <f>Table13[[#This Row],[Salary increase %]]*Table13[[#This Row],[Monthly Gross Salary]]</f>
        <v>2054.6999999999998</v>
      </c>
      <c r="V25" s="23">
        <f>Table13[[#This Row],[Salary increase Amount]]+Table13[[#This Row],[Monthly Gross Salary]]</f>
        <v>36299.699999999997</v>
      </c>
      <c r="W25" s="75">
        <v>0.1</v>
      </c>
      <c r="X25" s="6">
        <f>Table13[[#This Row],[New Gross Salary]]*Table13[[#This Row],[STI %]]</f>
        <v>3629.97</v>
      </c>
      <c r="Y25" s="96">
        <v>1.5</v>
      </c>
      <c r="Z25" s="6">
        <f>Table13[[#This Row],[Target STI]]*Table13[[#This Row],[Multiplier]]</f>
        <v>5444.9549999999999</v>
      </c>
      <c r="AA25" s="26">
        <v>0.31</v>
      </c>
      <c r="AB25" s="21" t="s">
        <v>9</v>
      </c>
      <c r="AC25" s="24">
        <f>(Table13[[#This Row],[New Gross Salary]]+Table13[[#This Row],[Final STI]])*Table13[[#This Row],[Tax %]]</f>
        <v>12940.843049999999</v>
      </c>
      <c r="AD25" s="24">
        <f>Table13[[#This Row],[New Gross Salary]]*5%</f>
        <v>1814.9849999999999</v>
      </c>
      <c r="AE25" s="21" cm="1">
        <f t="array" ref="AE25">_xlfn.XLOOKUP(AB25,{"A","B","C"},{500,800,1200})</f>
        <v>800</v>
      </c>
      <c r="AF25" s="24">
        <f t="shared" si="1"/>
        <v>15555.82805</v>
      </c>
      <c r="AG25" s="27">
        <f>Table13[[#This Row],[New Gross Salary]]+Table13[[#This Row],[Final STI]]-Table13[[#This Row],[Total Deductions
(Tax+Pension+HP)]]</f>
        <v>26188.826949999999</v>
      </c>
    </row>
    <row r="26" spans="1:33" x14ac:dyDescent="0.2">
      <c r="A26" s="20">
        <v>1025</v>
      </c>
      <c r="B26" s="21" t="s">
        <v>36</v>
      </c>
      <c r="C26" s="21" t="s">
        <v>5</v>
      </c>
      <c r="D26" s="21" t="s">
        <v>548</v>
      </c>
      <c r="E26" s="22">
        <v>44927</v>
      </c>
      <c r="F26" s="21" t="s">
        <v>300</v>
      </c>
      <c r="G26" s="21" t="s">
        <v>523</v>
      </c>
      <c r="H26" s="21" t="s">
        <v>520</v>
      </c>
      <c r="I26" s="5" t="s">
        <v>661</v>
      </c>
      <c r="J26" s="21" t="s">
        <v>533</v>
      </c>
      <c r="K26" s="21" t="s">
        <v>536</v>
      </c>
      <c r="L26" s="23">
        <v>39911</v>
      </c>
      <c r="M26" s="23" t="s">
        <v>673</v>
      </c>
      <c r="N26" s="23">
        <v>30000</v>
      </c>
      <c r="O26" s="23">
        <v>35000</v>
      </c>
      <c r="P26" s="23">
        <v>40000</v>
      </c>
      <c r="Q26" s="24">
        <f>Table13[[#This Row],[Monthly Gross Salary]]/Table13[[#This Row],[Mid]]</f>
        <v>1.1403142857142856</v>
      </c>
      <c r="R26" s="23" t="str">
        <f t="shared" si="0"/>
        <v>Above Mid</v>
      </c>
      <c r="S26" s="23">
        <v>5</v>
      </c>
      <c r="T26" s="25">
        <f>INDEX('Merit Matrix'!$B$4:$F$8,
       MATCH($S26,'Merit Matrix'!$A$4:$A$8,0),
       MATCH(TRIM($R26),'Merit Matrix'!$B$3:$F$3,0))</f>
        <v>0.04</v>
      </c>
      <c r="U26" s="24">
        <f>Table13[[#This Row],[Salary increase %]]*Table13[[#This Row],[Monthly Gross Salary]]</f>
        <v>1596.44</v>
      </c>
      <c r="V26" s="23">
        <f>Table13[[#This Row],[Salary increase Amount]]+Table13[[#This Row],[Monthly Gross Salary]]</f>
        <v>41507.440000000002</v>
      </c>
      <c r="W26" s="75">
        <v>0.1</v>
      </c>
      <c r="X26" s="6">
        <f>Table13[[#This Row],[New Gross Salary]]*Table13[[#This Row],[STI %]]</f>
        <v>4150.7440000000006</v>
      </c>
      <c r="Y26" s="96">
        <v>1.5</v>
      </c>
      <c r="Z26" s="6">
        <f>Table13[[#This Row],[Target STI]]*Table13[[#This Row],[Multiplier]]</f>
        <v>6226.1160000000009</v>
      </c>
      <c r="AA26" s="26">
        <v>0.32</v>
      </c>
      <c r="AB26" s="21" t="s">
        <v>6</v>
      </c>
      <c r="AC26" s="24">
        <f>(Table13[[#This Row],[New Gross Salary]]+Table13[[#This Row],[Final STI]])*Table13[[#This Row],[Tax %]]</f>
        <v>15274.737920000001</v>
      </c>
      <c r="AD26" s="24">
        <f>Table13[[#This Row],[New Gross Salary]]*5%</f>
        <v>2075.3720000000003</v>
      </c>
      <c r="AE26" s="21" cm="1">
        <f t="array" ref="AE26">_xlfn.XLOOKUP(AB26,{"A","B","C"},{500,800,1200})</f>
        <v>1200</v>
      </c>
      <c r="AF26" s="24">
        <f t="shared" si="1"/>
        <v>18550.109920000003</v>
      </c>
      <c r="AG26" s="27">
        <f>Table13[[#This Row],[New Gross Salary]]+Table13[[#This Row],[Final STI]]-Table13[[#This Row],[Total Deductions
(Tax+Pension+HP)]]</f>
        <v>29183.446080000002</v>
      </c>
    </row>
    <row r="27" spans="1:33" x14ac:dyDescent="0.2">
      <c r="A27" s="20">
        <v>1026</v>
      </c>
      <c r="B27" s="21" t="s">
        <v>37</v>
      </c>
      <c r="C27" s="21" t="s">
        <v>5</v>
      </c>
      <c r="D27" s="21" t="s">
        <v>548</v>
      </c>
      <c r="E27" s="22">
        <v>44927</v>
      </c>
      <c r="F27" s="21" t="s">
        <v>301</v>
      </c>
      <c r="G27" s="21" t="s">
        <v>523</v>
      </c>
      <c r="H27" s="21" t="s">
        <v>520</v>
      </c>
      <c r="I27" s="5" t="s">
        <v>661</v>
      </c>
      <c r="J27" s="21" t="s">
        <v>533</v>
      </c>
      <c r="K27" s="21" t="s">
        <v>536</v>
      </c>
      <c r="L27" s="23">
        <v>39911</v>
      </c>
      <c r="M27" s="23" t="s">
        <v>673</v>
      </c>
      <c r="N27" s="23">
        <v>30000</v>
      </c>
      <c r="O27" s="23">
        <v>35000</v>
      </c>
      <c r="P27" s="23">
        <v>40000</v>
      </c>
      <c r="Q27" s="24">
        <f>Table13[[#This Row],[Monthly Gross Salary]]/Table13[[#This Row],[Mid]]</f>
        <v>1.1403142857142856</v>
      </c>
      <c r="R27" s="23" t="str">
        <f t="shared" si="0"/>
        <v>Above Mid</v>
      </c>
      <c r="S27" s="23">
        <v>5</v>
      </c>
      <c r="T27" s="25">
        <f>INDEX('Merit Matrix'!$B$4:$F$8,
       MATCH($S27,'Merit Matrix'!$A$4:$A$8,0),
       MATCH(TRIM($R27),'Merit Matrix'!$B$3:$F$3,0))</f>
        <v>0.04</v>
      </c>
      <c r="U27" s="24">
        <f>Table13[[#This Row],[Salary increase %]]*Table13[[#This Row],[Monthly Gross Salary]]</f>
        <v>1596.44</v>
      </c>
      <c r="V27" s="23">
        <f>Table13[[#This Row],[Salary increase Amount]]+Table13[[#This Row],[Monthly Gross Salary]]</f>
        <v>41507.440000000002</v>
      </c>
      <c r="W27" s="75">
        <v>0.1</v>
      </c>
      <c r="X27" s="6">
        <f>Table13[[#This Row],[New Gross Salary]]*Table13[[#This Row],[STI %]]</f>
        <v>4150.7440000000006</v>
      </c>
      <c r="Y27" s="96">
        <v>1.5</v>
      </c>
      <c r="Z27" s="6">
        <f>Table13[[#This Row],[Target STI]]*Table13[[#This Row],[Multiplier]]</f>
        <v>6226.1160000000009</v>
      </c>
      <c r="AA27" s="26">
        <v>0.3</v>
      </c>
      <c r="AB27" s="21" t="s">
        <v>9</v>
      </c>
      <c r="AC27" s="24">
        <f>(Table13[[#This Row],[New Gross Salary]]+Table13[[#This Row],[Final STI]])*Table13[[#This Row],[Tax %]]</f>
        <v>14320.066800000001</v>
      </c>
      <c r="AD27" s="24">
        <f>Table13[[#This Row],[New Gross Salary]]*5%</f>
        <v>2075.3720000000003</v>
      </c>
      <c r="AE27" s="21" cm="1">
        <f t="array" ref="AE27">_xlfn.XLOOKUP(AB27,{"A","B","C"},{500,800,1200})</f>
        <v>800</v>
      </c>
      <c r="AF27" s="24">
        <f t="shared" si="1"/>
        <v>17195.4388</v>
      </c>
      <c r="AG27" s="27">
        <f>Table13[[#This Row],[New Gross Salary]]+Table13[[#This Row],[Final STI]]-Table13[[#This Row],[Total Deductions
(Tax+Pension+HP)]]</f>
        <v>30538.117200000004</v>
      </c>
    </row>
    <row r="28" spans="1:33" x14ac:dyDescent="0.2">
      <c r="A28" s="20">
        <v>1027</v>
      </c>
      <c r="B28" s="21" t="s">
        <v>38</v>
      </c>
      <c r="C28" s="21" t="s">
        <v>17</v>
      </c>
      <c r="D28" s="21" t="s">
        <v>558</v>
      </c>
      <c r="E28" s="22">
        <v>45292</v>
      </c>
      <c r="F28" s="21" t="s">
        <v>302</v>
      </c>
      <c r="G28" s="21" t="s">
        <v>524</v>
      </c>
      <c r="H28" s="21" t="s">
        <v>520</v>
      </c>
      <c r="I28" s="5" t="s">
        <v>661</v>
      </c>
      <c r="J28" s="21" t="s">
        <v>533</v>
      </c>
      <c r="K28" s="21" t="s">
        <v>536</v>
      </c>
      <c r="L28" s="23">
        <v>39911</v>
      </c>
      <c r="M28" s="23" t="s">
        <v>673</v>
      </c>
      <c r="N28" s="23">
        <v>30000</v>
      </c>
      <c r="O28" s="23">
        <v>35000</v>
      </c>
      <c r="P28" s="23">
        <v>40000</v>
      </c>
      <c r="Q28" s="24">
        <f>Table13[[#This Row],[Monthly Gross Salary]]/Table13[[#This Row],[Mid]]</f>
        <v>1.1403142857142856</v>
      </c>
      <c r="R28" s="23" t="str">
        <f t="shared" si="0"/>
        <v>Above Mid</v>
      </c>
      <c r="S28" s="23">
        <v>5</v>
      </c>
      <c r="T28" s="25">
        <f>INDEX('Merit Matrix'!$B$4:$F$8,
       MATCH($S28,'Merit Matrix'!$A$4:$A$8,0),
       MATCH(TRIM($R28),'Merit Matrix'!$B$3:$F$3,0))</f>
        <v>0.04</v>
      </c>
      <c r="U28" s="24">
        <f>Table13[[#This Row],[Salary increase %]]*Table13[[#This Row],[Monthly Gross Salary]]</f>
        <v>1596.44</v>
      </c>
      <c r="V28" s="23">
        <f>Table13[[#This Row],[Salary increase Amount]]+Table13[[#This Row],[Monthly Gross Salary]]</f>
        <v>41507.440000000002</v>
      </c>
      <c r="W28" s="75">
        <v>0.1</v>
      </c>
      <c r="X28" s="6">
        <f>Table13[[#This Row],[New Gross Salary]]*Table13[[#This Row],[STI %]]</f>
        <v>4150.7440000000006</v>
      </c>
      <c r="Y28" s="96">
        <v>1.5</v>
      </c>
      <c r="Z28" s="6">
        <f>Table13[[#This Row],[Target STI]]*Table13[[#This Row],[Multiplier]]</f>
        <v>6226.1160000000009</v>
      </c>
      <c r="AA28" s="26">
        <v>0.31</v>
      </c>
      <c r="AB28" s="21" t="s">
        <v>6</v>
      </c>
      <c r="AC28" s="24">
        <f>(Table13[[#This Row],[New Gross Salary]]+Table13[[#This Row],[Final STI]])*Table13[[#This Row],[Tax %]]</f>
        <v>14797.402360000002</v>
      </c>
      <c r="AD28" s="24">
        <f>Table13[[#This Row],[New Gross Salary]]*5%</f>
        <v>2075.3720000000003</v>
      </c>
      <c r="AE28" s="21" cm="1">
        <f t="array" ref="AE28">_xlfn.XLOOKUP(AB28,{"A","B","C"},{500,800,1200})</f>
        <v>1200</v>
      </c>
      <c r="AF28" s="24">
        <f t="shared" si="1"/>
        <v>18072.774360000003</v>
      </c>
      <c r="AG28" s="27">
        <f>Table13[[#This Row],[New Gross Salary]]+Table13[[#This Row],[Final STI]]-Table13[[#This Row],[Total Deductions
(Tax+Pension+HP)]]</f>
        <v>29660.781640000001</v>
      </c>
    </row>
    <row r="29" spans="1:33" x14ac:dyDescent="0.2">
      <c r="A29" s="20">
        <v>1028</v>
      </c>
      <c r="B29" s="21" t="s">
        <v>39</v>
      </c>
      <c r="C29" s="21" t="s">
        <v>8</v>
      </c>
      <c r="D29" s="21" t="s">
        <v>542</v>
      </c>
      <c r="E29" s="22">
        <v>45292</v>
      </c>
      <c r="F29" s="21" t="s">
        <v>303</v>
      </c>
      <c r="G29" s="21" t="s">
        <v>523</v>
      </c>
      <c r="H29" s="21" t="s">
        <v>520</v>
      </c>
      <c r="I29" s="5" t="s">
        <v>661</v>
      </c>
      <c r="J29" s="21" t="s">
        <v>533</v>
      </c>
      <c r="K29" s="21" t="s">
        <v>537</v>
      </c>
      <c r="L29" s="23">
        <v>41804</v>
      </c>
      <c r="M29" s="23" t="s">
        <v>673</v>
      </c>
      <c r="N29" s="23">
        <v>35000</v>
      </c>
      <c r="O29" s="23">
        <v>40000</v>
      </c>
      <c r="P29" s="23">
        <v>45000</v>
      </c>
      <c r="Q29" s="24">
        <f>Table13[[#This Row],[Monthly Gross Salary]]/Table13[[#This Row],[Mid]]</f>
        <v>1.0450999999999999</v>
      </c>
      <c r="R29" s="23" t="str">
        <f t="shared" si="0"/>
        <v>Around Mid</v>
      </c>
      <c r="S29" s="23">
        <v>5</v>
      </c>
      <c r="T29" s="25">
        <f>INDEX('Merit Matrix'!$B$4:$F$8,
       MATCH($S29,'Merit Matrix'!$A$4:$A$8,0),
       MATCH(TRIM($R29),'Merit Matrix'!$B$3:$F$3,0))</f>
        <v>0.06</v>
      </c>
      <c r="U29" s="24">
        <f>Table13[[#This Row],[Salary increase %]]*Table13[[#This Row],[Monthly Gross Salary]]</f>
        <v>2508.2399999999998</v>
      </c>
      <c r="V29" s="23">
        <f>Table13[[#This Row],[Salary increase Amount]]+Table13[[#This Row],[Monthly Gross Salary]]</f>
        <v>44312.24</v>
      </c>
      <c r="W29" s="75">
        <v>0.1</v>
      </c>
      <c r="X29" s="6">
        <f>Table13[[#This Row],[New Gross Salary]]*Table13[[#This Row],[STI %]]</f>
        <v>4431.2240000000002</v>
      </c>
      <c r="Y29" s="96">
        <v>1.5</v>
      </c>
      <c r="Z29" s="6">
        <f>Table13[[#This Row],[Target STI]]*Table13[[#This Row],[Multiplier]]</f>
        <v>6646.8360000000002</v>
      </c>
      <c r="AA29" s="26">
        <v>0.32</v>
      </c>
      <c r="AB29" s="21" t="s">
        <v>18</v>
      </c>
      <c r="AC29" s="24">
        <f>(Table13[[#This Row],[New Gross Salary]]+Table13[[#This Row],[Final STI]])*Table13[[#This Row],[Tax %]]</f>
        <v>16306.904320000001</v>
      </c>
      <c r="AD29" s="24">
        <f>Table13[[#This Row],[New Gross Salary]]*5%</f>
        <v>2215.6120000000001</v>
      </c>
      <c r="AE29" s="21" cm="1">
        <f t="array" ref="AE29">_xlfn.XLOOKUP(AB29,{"A","B","C"},{500,800,1200})</f>
        <v>500</v>
      </c>
      <c r="AF29" s="24">
        <f t="shared" si="1"/>
        <v>19022.516320000002</v>
      </c>
      <c r="AG29" s="27">
        <f>Table13[[#This Row],[New Gross Salary]]+Table13[[#This Row],[Final STI]]-Table13[[#This Row],[Total Deductions
(Tax+Pension+HP)]]</f>
        <v>31936.559679999998</v>
      </c>
    </row>
    <row r="30" spans="1:33" x14ac:dyDescent="0.2">
      <c r="A30" s="20">
        <v>1029</v>
      </c>
      <c r="B30" s="21" t="s">
        <v>40</v>
      </c>
      <c r="C30" s="21" t="s">
        <v>14</v>
      </c>
      <c r="D30" s="21" t="s">
        <v>552</v>
      </c>
      <c r="E30" s="22">
        <v>44927</v>
      </c>
      <c r="F30" s="21" t="s">
        <v>304</v>
      </c>
      <c r="G30" s="21" t="s">
        <v>523</v>
      </c>
      <c r="H30" s="21" t="s">
        <v>520</v>
      </c>
      <c r="I30" s="5" t="s">
        <v>661</v>
      </c>
      <c r="J30" s="21" t="s">
        <v>533</v>
      </c>
      <c r="K30" s="21" t="s">
        <v>536</v>
      </c>
      <c r="L30" s="23">
        <v>39911</v>
      </c>
      <c r="M30" s="23" t="s">
        <v>673</v>
      </c>
      <c r="N30" s="23">
        <v>30000</v>
      </c>
      <c r="O30" s="23">
        <v>35000</v>
      </c>
      <c r="P30" s="23">
        <v>40000</v>
      </c>
      <c r="Q30" s="24">
        <f>Table13[[#This Row],[Monthly Gross Salary]]/Table13[[#This Row],[Mid]]</f>
        <v>1.1403142857142856</v>
      </c>
      <c r="R30" s="23" t="str">
        <f t="shared" si="0"/>
        <v>Above Mid</v>
      </c>
      <c r="S30" s="23">
        <v>1</v>
      </c>
      <c r="T30" s="25">
        <f>INDEX('Merit Matrix'!$B$4:$F$8,
       MATCH($S30,'Merit Matrix'!$A$4:$A$8,0),
       MATCH(TRIM($R30),'Merit Matrix'!$B$3:$F$3,0))</f>
        <v>0</v>
      </c>
      <c r="U30" s="24">
        <f>Table13[[#This Row],[Salary increase %]]*Table13[[#This Row],[Monthly Gross Salary]]</f>
        <v>0</v>
      </c>
      <c r="V30" s="23">
        <f>Table13[[#This Row],[Salary increase Amount]]+Table13[[#This Row],[Monthly Gross Salary]]</f>
        <v>39911</v>
      </c>
      <c r="W30" s="75">
        <v>0.1</v>
      </c>
      <c r="X30" s="6">
        <f>Table13[[#This Row],[New Gross Salary]]*Table13[[#This Row],[STI %]]</f>
        <v>3991.1000000000004</v>
      </c>
      <c r="Y30" s="96">
        <v>0</v>
      </c>
      <c r="Z30" s="6">
        <f>Table13[[#This Row],[Target STI]]*Table13[[#This Row],[Multiplier]]</f>
        <v>0</v>
      </c>
      <c r="AA30" s="26">
        <v>0.27</v>
      </c>
      <c r="AB30" s="21" t="s">
        <v>9</v>
      </c>
      <c r="AC30" s="24">
        <f>(Table13[[#This Row],[New Gross Salary]]+Table13[[#This Row],[Final STI]])*Table13[[#This Row],[Tax %]]</f>
        <v>10775.970000000001</v>
      </c>
      <c r="AD30" s="24">
        <f>Table13[[#This Row],[New Gross Salary]]*5%</f>
        <v>1995.5500000000002</v>
      </c>
      <c r="AE30" s="21" cm="1">
        <f t="array" ref="AE30">_xlfn.XLOOKUP(AB30,{"A","B","C"},{500,800,1200})</f>
        <v>800</v>
      </c>
      <c r="AF30" s="24">
        <f t="shared" si="1"/>
        <v>13571.52</v>
      </c>
      <c r="AG30" s="27">
        <f>Table13[[#This Row],[New Gross Salary]]+Table13[[#This Row],[Final STI]]-Table13[[#This Row],[Total Deductions
(Tax+Pension+HP)]]</f>
        <v>26339.48</v>
      </c>
    </row>
    <row r="31" spans="1:33" x14ac:dyDescent="0.2">
      <c r="A31" s="20">
        <v>1030</v>
      </c>
      <c r="B31" s="21" t="s">
        <v>41</v>
      </c>
      <c r="C31" s="21" t="s">
        <v>42</v>
      </c>
      <c r="D31" s="21" t="s">
        <v>555</v>
      </c>
      <c r="E31" s="22">
        <v>44927</v>
      </c>
      <c r="F31" s="21" t="s">
        <v>305</v>
      </c>
      <c r="G31" s="21" t="s">
        <v>524</v>
      </c>
      <c r="H31" s="21" t="s">
        <v>520</v>
      </c>
      <c r="I31" s="5" t="s">
        <v>661</v>
      </c>
      <c r="J31" s="21" t="s">
        <v>533</v>
      </c>
      <c r="K31" s="21" t="s">
        <v>536</v>
      </c>
      <c r="L31" s="23">
        <v>39911</v>
      </c>
      <c r="M31" s="23" t="s">
        <v>673</v>
      </c>
      <c r="N31" s="23">
        <v>30000</v>
      </c>
      <c r="O31" s="23">
        <v>35000</v>
      </c>
      <c r="P31" s="23">
        <v>40000</v>
      </c>
      <c r="Q31" s="24">
        <f>Table13[[#This Row],[Monthly Gross Salary]]/Table13[[#This Row],[Mid]]</f>
        <v>1.1403142857142856</v>
      </c>
      <c r="R31" s="23" t="str">
        <f t="shared" si="0"/>
        <v>Above Mid</v>
      </c>
      <c r="S31" s="23">
        <v>3</v>
      </c>
      <c r="T31" s="25">
        <f>INDEX('Merit Matrix'!$B$4:$F$8,
       MATCH($S31,'Merit Matrix'!$A$4:$A$8,0),
       MATCH(TRIM($R31),'Merit Matrix'!$B$3:$F$3,0))</f>
        <v>0.02</v>
      </c>
      <c r="U31" s="24">
        <f>Table13[[#This Row],[Salary increase %]]*Table13[[#This Row],[Monthly Gross Salary]]</f>
        <v>798.22</v>
      </c>
      <c r="V31" s="23">
        <f>Table13[[#This Row],[Salary increase Amount]]+Table13[[#This Row],[Monthly Gross Salary]]</f>
        <v>40709.22</v>
      </c>
      <c r="W31" s="75">
        <v>0.1</v>
      </c>
      <c r="X31" s="6">
        <f>Table13[[#This Row],[New Gross Salary]]*Table13[[#This Row],[STI %]]</f>
        <v>4070.9220000000005</v>
      </c>
      <c r="Y31" s="96">
        <v>1</v>
      </c>
      <c r="Z31" s="6">
        <f>Table13[[#This Row],[Target STI]]*Table13[[#This Row],[Multiplier]]</f>
        <v>4070.9220000000005</v>
      </c>
      <c r="AA31" s="26">
        <v>0.32</v>
      </c>
      <c r="AB31" s="21" t="s">
        <v>9</v>
      </c>
      <c r="AC31" s="24">
        <f>(Table13[[#This Row],[New Gross Salary]]+Table13[[#This Row],[Final STI]])*Table13[[#This Row],[Tax %]]</f>
        <v>14329.64544</v>
      </c>
      <c r="AD31" s="24">
        <f>Table13[[#This Row],[New Gross Salary]]*5%</f>
        <v>2035.4610000000002</v>
      </c>
      <c r="AE31" s="21" cm="1">
        <f t="array" ref="AE31">_xlfn.XLOOKUP(AB31,{"A","B","C"},{500,800,1200})</f>
        <v>800</v>
      </c>
      <c r="AF31" s="24">
        <f t="shared" si="1"/>
        <v>17165.10644</v>
      </c>
      <c r="AG31" s="27">
        <f>Table13[[#This Row],[New Gross Salary]]+Table13[[#This Row],[Final STI]]-Table13[[#This Row],[Total Deductions
(Tax+Pension+HP)]]</f>
        <v>27615.03556</v>
      </c>
    </row>
    <row r="32" spans="1:33" x14ac:dyDescent="0.2">
      <c r="A32" s="20">
        <v>1031</v>
      </c>
      <c r="B32" s="21" t="s">
        <v>43</v>
      </c>
      <c r="C32" s="21" t="s">
        <v>17</v>
      </c>
      <c r="D32" s="21" t="s">
        <v>558</v>
      </c>
      <c r="E32" s="22">
        <v>45292</v>
      </c>
      <c r="F32" s="21" t="s">
        <v>306</v>
      </c>
      <c r="G32" s="21" t="s">
        <v>524</v>
      </c>
      <c r="H32" s="21" t="s">
        <v>520</v>
      </c>
      <c r="I32" s="5" t="s">
        <v>661</v>
      </c>
      <c r="J32" s="21" t="s">
        <v>533</v>
      </c>
      <c r="K32" s="21" t="s">
        <v>536</v>
      </c>
      <c r="L32" s="23">
        <v>39911</v>
      </c>
      <c r="M32" s="23" t="s">
        <v>673</v>
      </c>
      <c r="N32" s="23">
        <v>30000</v>
      </c>
      <c r="O32" s="23">
        <v>35000</v>
      </c>
      <c r="P32" s="23">
        <v>40000</v>
      </c>
      <c r="Q32" s="24">
        <f>Table13[[#This Row],[Monthly Gross Salary]]/Table13[[#This Row],[Mid]]</f>
        <v>1.1403142857142856</v>
      </c>
      <c r="R32" s="23" t="str">
        <f t="shared" si="0"/>
        <v>Above Mid</v>
      </c>
      <c r="S32" s="23">
        <v>3</v>
      </c>
      <c r="T32" s="25">
        <f>INDEX('Merit Matrix'!$B$4:$F$8,
       MATCH($S32,'Merit Matrix'!$A$4:$A$8,0),
       MATCH(TRIM($R32),'Merit Matrix'!$B$3:$F$3,0))</f>
        <v>0.02</v>
      </c>
      <c r="U32" s="24">
        <f>Table13[[#This Row],[Salary increase %]]*Table13[[#This Row],[Monthly Gross Salary]]</f>
        <v>798.22</v>
      </c>
      <c r="V32" s="23">
        <f>Table13[[#This Row],[Salary increase Amount]]+Table13[[#This Row],[Monthly Gross Salary]]</f>
        <v>40709.22</v>
      </c>
      <c r="W32" s="75">
        <v>0.1</v>
      </c>
      <c r="X32" s="6">
        <f>Table13[[#This Row],[New Gross Salary]]*Table13[[#This Row],[STI %]]</f>
        <v>4070.9220000000005</v>
      </c>
      <c r="Y32" s="96">
        <v>1</v>
      </c>
      <c r="Z32" s="6">
        <f>Table13[[#This Row],[Target STI]]*Table13[[#This Row],[Multiplier]]</f>
        <v>4070.9220000000005</v>
      </c>
      <c r="AA32" s="26">
        <v>0.31</v>
      </c>
      <c r="AB32" s="21" t="s">
        <v>6</v>
      </c>
      <c r="AC32" s="24">
        <f>(Table13[[#This Row],[New Gross Salary]]+Table13[[#This Row],[Final STI]])*Table13[[#This Row],[Tax %]]</f>
        <v>13881.84402</v>
      </c>
      <c r="AD32" s="24">
        <f>Table13[[#This Row],[New Gross Salary]]*5%</f>
        <v>2035.4610000000002</v>
      </c>
      <c r="AE32" s="21" cm="1">
        <f t="array" ref="AE32">_xlfn.XLOOKUP(AB32,{"A","B","C"},{500,800,1200})</f>
        <v>1200</v>
      </c>
      <c r="AF32" s="24">
        <f t="shared" si="1"/>
        <v>17117.30502</v>
      </c>
      <c r="AG32" s="27">
        <f>Table13[[#This Row],[New Gross Salary]]+Table13[[#This Row],[Final STI]]-Table13[[#This Row],[Total Deductions
(Tax+Pension+HP)]]</f>
        <v>27662.83698</v>
      </c>
    </row>
    <row r="33" spans="1:33" x14ac:dyDescent="0.2">
      <c r="A33" s="20">
        <v>1032</v>
      </c>
      <c r="B33" s="21" t="s">
        <v>44</v>
      </c>
      <c r="C33" s="21" t="s">
        <v>17</v>
      </c>
      <c r="D33" s="21" t="s">
        <v>558</v>
      </c>
      <c r="E33" s="22">
        <v>45292</v>
      </c>
      <c r="F33" s="21" t="s">
        <v>307</v>
      </c>
      <c r="G33" s="21" t="s">
        <v>524</v>
      </c>
      <c r="H33" s="21" t="s">
        <v>520</v>
      </c>
      <c r="I33" s="5" t="s">
        <v>661</v>
      </c>
      <c r="J33" s="21" t="s">
        <v>533</v>
      </c>
      <c r="K33" s="21" t="s">
        <v>536</v>
      </c>
      <c r="L33" s="23">
        <v>39911</v>
      </c>
      <c r="M33" s="23" t="s">
        <v>673</v>
      </c>
      <c r="N33" s="23">
        <v>30000</v>
      </c>
      <c r="O33" s="23">
        <v>35000</v>
      </c>
      <c r="P33" s="23">
        <v>40000</v>
      </c>
      <c r="Q33" s="24">
        <f>Table13[[#This Row],[Monthly Gross Salary]]/Table13[[#This Row],[Mid]]</f>
        <v>1.1403142857142856</v>
      </c>
      <c r="R33" s="23" t="str">
        <f t="shared" si="0"/>
        <v>Above Mid</v>
      </c>
      <c r="S33" s="23">
        <v>1</v>
      </c>
      <c r="T33" s="25">
        <f>INDEX('Merit Matrix'!$B$4:$F$8,
       MATCH($S33,'Merit Matrix'!$A$4:$A$8,0),
       MATCH(TRIM($R33),'Merit Matrix'!$B$3:$F$3,0))</f>
        <v>0</v>
      </c>
      <c r="U33" s="24">
        <f>Table13[[#This Row],[Salary increase %]]*Table13[[#This Row],[Monthly Gross Salary]]</f>
        <v>0</v>
      </c>
      <c r="V33" s="23">
        <f>Table13[[#This Row],[Salary increase Amount]]+Table13[[#This Row],[Monthly Gross Salary]]</f>
        <v>39911</v>
      </c>
      <c r="W33" s="75">
        <v>0.1</v>
      </c>
      <c r="X33" s="6">
        <f>Table13[[#This Row],[New Gross Salary]]*Table13[[#This Row],[STI %]]</f>
        <v>3991.1000000000004</v>
      </c>
      <c r="Y33" s="96">
        <v>0</v>
      </c>
      <c r="Z33" s="6">
        <f>Table13[[#This Row],[Target STI]]*Table13[[#This Row],[Multiplier]]</f>
        <v>0</v>
      </c>
      <c r="AA33" s="26">
        <v>0.28000000000000003</v>
      </c>
      <c r="AB33" s="21" t="s">
        <v>6</v>
      </c>
      <c r="AC33" s="24">
        <f>(Table13[[#This Row],[New Gross Salary]]+Table13[[#This Row],[Final STI]])*Table13[[#This Row],[Tax %]]</f>
        <v>11175.080000000002</v>
      </c>
      <c r="AD33" s="24">
        <f>Table13[[#This Row],[New Gross Salary]]*5%</f>
        <v>1995.5500000000002</v>
      </c>
      <c r="AE33" s="21" cm="1">
        <f t="array" ref="AE33">_xlfn.XLOOKUP(AB33,{"A","B","C"},{500,800,1200})</f>
        <v>1200</v>
      </c>
      <c r="AF33" s="24">
        <f t="shared" si="1"/>
        <v>14370.630000000001</v>
      </c>
      <c r="AG33" s="27">
        <f>Table13[[#This Row],[New Gross Salary]]+Table13[[#This Row],[Final STI]]-Table13[[#This Row],[Total Deductions
(Tax+Pension+HP)]]</f>
        <v>25540.37</v>
      </c>
    </row>
    <row r="34" spans="1:33" x14ac:dyDescent="0.2">
      <c r="A34" s="20">
        <v>1033</v>
      </c>
      <c r="B34" s="21" t="s">
        <v>45</v>
      </c>
      <c r="C34" s="21" t="s">
        <v>17</v>
      </c>
      <c r="D34" s="21" t="s">
        <v>558</v>
      </c>
      <c r="E34" s="22">
        <v>45292</v>
      </c>
      <c r="F34" s="21" t="s">
        <v>308</v>
      </c>
      <c r="G34" s="21" t="s">
        <v>524</v>
      </c>
      <c r="H34" s="21" t="s">
        <v>520</v>
      </c>
      <c r="I34" s="5" t="s">
        <v>661</v>
      </c>
      <c r="J34" s="21" t="s">
        <v>533</v>
      </c>
      <c r="K34" s="21" t="s">
        <v>536</v>
      </c>
      <c r="L34" s="23">
        <v>39911</v>
      </c>
      <c r="M34" s="23" t="s">
        <v>673</v>
      </c>
      <c r="N34" s="23">
        <v>30000</v>
      </c>
      <c r="O34" s="23">
        <v>35000</v>
      </c>
      <c r="P34" s="23">
        <v>40000</v>
      </c>
      <c r="Q34" s="24">
        <f>Table13[[#This Row],[Monthly Gross Salary]]/Table13[[#This Row],[Mid]]</f>
        <v>1.1403142857142856</v>
      </c>
      <c r="R34" s="23" t="str">
        <f t="shared" si="0"/>
        <v>Above Mid</v>
      </c>
      <c r="S34" s="23">
        <v>3</v>
      </c>
      <c r="T34" s="25">
        <f>INDEX('Merit Matrix'!$B$4:$F$8,
       MATCH($S34,'Merit Matrix'!$A$4:$A$8,0),
       MATCH(TRIM($R34),'Merit Matrix'!$B$3:$F$3,0))</f>
        <v>0.02</v>
      </c>
      <c r="U34" s="24">
        <f>Table13[[#This Row],[Salary increase %]]*Table13[[#This Row],[Monthly Gross Salary]]</f>
        <v>798.22</v>
      </c>
      <c r="V34" s="23">
        <f>Table13[[#This Row],[Salary increase Amount]]+Table13[[#This Row],[Monthly Gross Salary]]</f>
        <v>40709.22</v>
      </c>
      <c r="W34" s="75">
        <v>0.1</v>
      </c>
      <c r="X34" s="6">
        <f>Table13[[#This Row],[New Gross Salary]]*Table13[[#This Row],[STI %]]</f>
        <v>4070.9220000000005</v>
      </c>
      <c r="Y34" s="96">
        <v>1</v>
      </c>
      <c r="Z34" s="6">
        <f>Table13[[#This Row],[Target STI]]*Table13[[#This Row],[Multiplier]]</f>
        <v>4070.9220000000005</v>
      </c>
      <c r="AA34" s="26">
        <v>0.31</v>
      </c>
      <c r="AB34" s="21" t="s">
        <v>6</v>
      </c>
      <c r="AC34" s="24">
        <f>(Table13[[#This Row],[New Gross Salary]]+Table13[[#This Row],[Final STI]])*Table13[[#This Row],[Tax %]]</f>
        <v>13881.84402</v>
      </c>
      <c r="AD34" s="24">
        <f>Table13[[#This Row],[New Gross Salary]]*5%</f>
        <v>2035.4610000000002</v>
      </c>
      <c r="AE34" s="21" cm="1">
        <f t="array" ref="AE34">_xlfn.XLOOKUP(AB34,{"A","B","C"},{500,800,1200})</f>
        <v>1200</v>
      </c>
      <c r="AF34" s="24">
        <f t="shared" si="1"/>
        <v>17117.30502</v>
      </c>
      <c r="AG34" s="27">
        <f>Table13[[#This Row],[New Gross Salary]]+Table13[[#This Row],[Final STI]]-Table13[[#This Row],[Total Deductions
(Tax+Pension+HP)]]</f>
        <v>27662.83698</v>
      </c>
    </row>
    <row r="35" spans="1:33" x14ac:dyDescent="0.2">
      <c r="A35" s="20">
        <v>1034</v>
      </c>
      <c r="B35" s="21" t="s">
        <v>46</v>
      </c>
      <c r="C35" s="21" t="s">
        <v>11</v>
      </c>
      <c r="D35" s="21" t="s">
        <v>528</v>
      </c>
      <c r="E35" s="22">
        <v>45292</v>
      </c>
      <c r="F35" s="21" t="s">
        <v>309</v>
      </c>
      <c r="G35" s="21" t="s">
        <v>523</v>
      </c>
      <c r="H35" s="21" t="s">
        <v>520</v>
      </c>
      <c r="I35" s="5" t="s">
        <v>661</v>
      </c>
      <c r="J35" s="21" t="s">
        <v>533</v>
      </c>
      <c r="K35" s="21" t="s">
        <v>536</v>
      </c>
      <c r="L35" s="23">
        <v>39911</v>
      </c>
      <c r="M35" s="23" t="s">
        <v>673</v>
      </c>
      <c r="N35" s="23">
        <v>30000</v>
      </c>
      <c r="O35" s="23">
        <v>35000</v>
      </c>
      <c r="P35" s="23">
        <v>40000</v>
      </c>
      <c r="Q35" s="24">
        <f>Table13[[#This Row],[Monthly Gross Salary]]/Table13[[#This Row],[Mid]]</f>
        <v>1.1403142857142856</v>
      </c>
      <c r="R35" s="23" t="str">
        <f t="shared" si="0"/>
        <v>Above Mid</v>
      </c>
      <c r="S35" s="23">
        <v>3</v>
      </c>
      <c r="T35" s="25">
        <f>INDEX('Merit Matrix'!$B$4:$F$8,
       MATCH($S35,'Merit Matrix'!$A$4:$A$8,0),
       MATCH(TRIM($R35),'Merit Matrix'!$B$3:$F$3,0))</f>
        <v>0.02</v>
      </c>
      <c r="U35" s="24">
        <f>Table13[[#This Row],[Salary increase %]]*Table13[[#This Row],[Monthly Gross Salary]]</f>
        <v>798.22</v>
      </c>
      <c r="V35" s="23">
        <f>Table13[[#This Row],[Salary increase Amount]]+Table13[[#This Row],[Monthly Gross Salary]]</f>
        <v>40709.22</v>
      </c>
      <c r="W35" s="75">
        <v>0.1</v>
      </c>
      <c r="X35" s="6">
        <f>Table13[[#This Row],[New Gross Salary]]*Table13[[#This Row],[STI %]]</f>
        <v>4070.9220000000005</v>
      </c>
      <c r="Y35" s="96">
        <v>1</v>
      </c>
      <c r="Z35" s="6">
        <f>Table13[[#This Row],[Target STI]]*Table13[[#This Row],[Multiplier]]</f>
        <v>4070.9220000000005</v>
      </c>
      <c r="AA35" s="26">
        <v>0.31</v>
      </c>
      <c r="AB35" s="21" t="s">
        <v>18</v>
      </c>
      <c r="AC35" s="24">
        <f>(Table13[[#This Row],[New Gross Salary]]+Table13[[#This Row],[Final STI]])*Table13[[#This Row],[Tax %]]</f>
        <v>13881.84402</v>
      </c>
      <c r="AD35" s="24">
        <f>Table13[[#This Row],[New Gross Salary]]*5%</f>
        <v>2035.4610000000002</v>
      </c>
      <c r="AE35" s="21" cm="1">
        <f t="array" ref="AE35">_xlfn.XLOOKUP(AB35,{"A","B","C"},{500,800,1200})</f>
        <v>500</v>
      </c>
      <c r="AF35" s="24">
        <f t="shared" si="1"/>
        <v>16417.30502</v>
      </c>
      <c r="AG35" s="27">
        <f>Table13[[#This Row],[New Gross Salary]]+Table13[[#This Row],[Final STI]]-Table13[[#This Row],[Total Deductions
(Tax+Pension+HP)]]</f>
        <v>28362.83698</v>
      </c>
    </row>
    <row r="36" spans="1:33" x14ac:dyDescent="0.2">
      <c r="A36" s="20">
        <v>1035</v>
      </c>
      <c r="B36" s="21" t="s">
        <v>47</v>
      </c>
      <c r="C36" s="21" t="s">
        <v>11</v>
      </c>
      <c r="D36" s="21" t="s">
        <v>528</v>
      </c>
      <c r="E36" s="22">
        <v>45292</v>
      </c>
      <c r="F36" s="21" t="s">
        <v>310</v>
      </c>
      <c r="G36" s="21" t="s">
        <v>523</v>
      </c>
      <c r="H36" s="21" t="s">
        <v>520</v>
      </c>
      <c r="I36" s="5" t="s">
        <v>661</v>
      </c>
      <c r="J36" s="21" t="s">
        <v>533</v>
      </c>
      <c r="K36" s="21" t="s">
        <v>536</v>
      </c>
      <c r="L36" s="23">
        <v>39911</v>
      </c>
      <c r="M36" s="23" t="s">
        <v>673</v>
      </c>
      <c r="N36" s="23">
        <v>30000</v>
      </c>
      <c r="O36" s="23">
        <v>35000</v>
      </c>
      <c r="P36" s="23">
        <v>40000</v>
      </c>
      <c r="Q36" s="24">
        <f>Table13[[#This Row],[Monthly Gross Salary]]/Table13[[#This Row],[Mid]]</f>
        <v>1.1403142857142856</v>
      </c>
      <c r="R36" s="23" t="str">
        <f t="shared" si="0"/>
        <v>Above Mid</v>
      </c>
      <c r="S36" s="23">
        <v>3</v>
      </c>
      <c r="T36" s="25">
        <f>INDEX('Merit Matrix'!$B$4:$F$8,
       MATCH($S36,'Merit Matrix'!$A$4:$A$8,0),
       MATCH(TRIM($R36),'Merit Matrix'!$B$3:$F$3,0))</f>
        <v>0.02</v>
      </c>
      <c r="U36" s="24">
        <f>Table13[[#This Row],[Salary increase %]]*Table13[[#This Row],[Monthly Gross Salary]]</f>
        <v>798.22</v>
      </c>
      <c r="V36" s="23">
        <f>Table13[[#This Row],[Salary increase Amount]]+Table13[[#This Row],[Monthly Gross Salary]]</f>
        <v>40709.22</v>
      </c>
      <c r="W36" s="75">
        <v>0.1</v>
      </c>
      <c r="X36" s="6">
        <f>Table13[[#This Row],[New Gross Salary]]*Table13[[#This Row],[STI %]]</f>
        <v>4070.9220000000005</v>
      </c>
      <c r="Y36" s="96">
        <v>1</v>
      </c>
      <c r="Z36" s="6">
        <f>Table13[[#This Row],[Target STI]]*Table13[[#This Row],[Multiplier]]</f>
        <v>4070.9220000000005</v>
      </c>
      <c r="AA36" s="26">
        <v>0.27</v>
      </c>
      <c r="AB36" s="21" t="s">
        <v>6</v>
      </c>
      <c r="AC36" s="24">
        <f>(Table13[[#This Row],[New Gross Salary]]+Table13[[#This Row],[Final STI]])*Table13[[#This Row],[Tax %]]</f>
        <v>12090.638340000001</v>
      </c>
      <c r="AD36" s="24">
        <f>Table13[[#This Row],[New Gross Salary]]*5%</f>
        <v>2035.4610000000002</v>
      </c>
      <c r="AE36" s="21" cm="1">
        <f t="array" ref="AE36">_xlfn.XLOOKUP(AB36,{"A","B","C"},{500,800,1200})</f>
        <v>1200</v>
      </c>
      <c r="AF36" s="24">
        <f t="shared" si="1"/>
        <v>15326.099340000001</v>
      </c>
      <c r="AG36" s="27">
        <f>Table13[[#This Row],[New Gross Salary]]+Table13[[#This Row],[Final STI]]-Table13[[#This Row],[Total Deductions
(Tax+Pension+HP)]]</f>
        <v>29454.042659999999</v>
      </c>
    </row>
    <row r="37" spans="1:33" x14ac:dyDescent="0.2">
      <c r="A37" s="20">
        <v>1036</v>
      </c>
      <c r="B37" s="21" t="s">
        <v>48</v>
      </c>
      <c r="C37" s="21" t="s">
        <v>5</v>
      </c>
      <c r="D37" s="21" t="s">
        <v>548</v>
      </c>
      <c r="E37" s="22">
        <v>44927</v>
      </c>
      <c r="F37" s="21" t="s">
        <v>311</v>
      </c>
      <c r="G37" s="21" t="s">
        <v>523</v>
      </c>
      <c r="H37" s="21" t="s">
        <v>520</v>
      </c>
      <c r="I37" s="5" t="s">
        <v>661</v>
      </c>
      <c r="J37" s="21" t="s">
        <v>533</v>
      </c>
      <c r="K37" s="21" t="s">
        <v>536</v>
      </c>
      <c r="L37" s="23">
        <v>39911</v>
      </c>
      <c r="M37" s="23" t="s">
        <v>673</v>
      </c>
      <c r="N37" s="23">
        <v>30000</v>
      </c>
      <c r="O37" s="23">
        <v>35000</v>
      </c>
      <c r="P37" s="23">
        <v>40000</v>
      </c>
      <c r="Q37" s="24">
        <f>Table13[[#This Row],[Monthly Gross Salary]]/Table13[[#This Row],[Mid]]</f>
        <v>1.1403142857142856</v>
      </c>
      <c r="R37" s="23" t="str">
        <f t="shared" si="0"/>
        <v>Above Mid</v>
      </c>
      <c r="S37" s="23">
        <v>3</v>
      </c>
      <c r="T37" s="25">
        <f>INDEX('Merit Matrix'!$B$4:$F$8,
       MATCH($S37,'Merit Matrix'!$A$4:$A$8,0),
       MATCH(TRIM($R37),'Merit Matrix'!$B$3:$F$3,0))</f>
        <v>0.02</v>
      </c>
      <c r="U37" s="24">
        <f>Table13[[#This Row],[Salary increase %]]*Table13[[#This Row],[Monthly Gross Salary]]</f>
        <v>798.22</v>
      </c>
      <c r="V37" s="23">
        <f>Table13[[#This Row],[Salary increase Amount]]+Table13[[#This Row],[Monthly Gross Salary]]</f>
        <v>40709.22</v>
      </c>
      <c r="W37" s="75">
        <v>0.1</v>
      </c>
      <c r="X37" s="6">
        <f>Table13[[#This Row],[New Gross Salary]]*Table13[[#This Row],[STI %]]</f>
        <v>4070.9220000000005</v>
      </c>
      <c r="Y37" s="96">
        <v>1</v>
      </c>
      <c r="Z37" s="6">
        <f>Table13[[#This Row],[Target STI]]*Table13[[#This Row],[Multiplier]]</f>
        <v>4070.9220000000005</v>
      </c>
      <c r="AA37" s="26">
        <v>0.3</v>
      </c>
      <c r="AB37" s="21" t="s">
        <v>6</v>
      </c>
      <c r="AC37" s="24">
        <f>(Table13[[#This Row],[New Gross Salary]]+Table13[[#This Row],[Final STI]])*Table13[[#This Row],[Tax %]]</f>
        <v>13434.042599999999</v>
      </c>
      <c r="AD37" s="24">
        <f>Table13[[#This Row],[New Gross Salary]]*5%</f>
        <v>2035.4610000000002</v>
      </c>
      <c r="AE37" s="21" cm="1">
        <f t="array" ref="AE37">_xlfn.XLOOKUP(AB37,{"A","B","C"},{500,800,1200})</f>
        <v>1200</v>
      </c>
      <c r="AF37" s="24">
        <f t="shared" si="1"/>
        <v>16669.5036</v>
      </c>
      <c r="AG37" s="27">
        <f>Table13[[#This Row],[New Gross Salary]]+Table13[[#This Row],[Final STI]]-Table13[[#This Row],[Total Deductions
(Tax+Pension+HP)]]</f>
        <v>28110.6384</v>
      </c>
    </row>
    <row r="38" spans="1:33" x14ac:dyDescent="0.2">
      <c r="A38" s="20">
        <v>1037</v>
      </c>
      <c r="B38" s="21" t="s">
        <v>49</v>
      </c>
      <c r="C38" s="21" t="s">
        <v>11</v>
      </c>
      <c r="D38" s="21" t="s">
        <v>528</v>
      </c>
      <c r="E38" s="22">
        <v>45292</v>
      </c>
      <c r="F38" s="21" t="s">
        <v>312</v>
      </c>
      <c r="G38" s="21" t="s">
        <v>523</v>
      </c>
      <c r="H38" s="21" t="s">
        <v>520</v>
      </c>
      <c r="I38" s="5" t="s">
        <v>661</v>
      </c>
      <c r="J38" s="21" t="s">
        <v>533</v>
      </c>
      <c r="K38" s="21" t="s">
        <v>536</v>
      </c>
      <c r="L38" s="23">
        <v>39911</v>
      </c>
      <c r="M38" s="23" t="s">
        <v>673</v>
      </c>
      <c r="N38" s="23">
        <v>30000</v>
      </c>
      <c r="O38" s="23">
        <v>35000</v>
      </c>
      <c r="P38" s="23">
        <v>40000</v>
      </c>
      <c r="Q38" s="24">
        <f>Table13[[#This Row],[Monthly Gross Salary]]/Table13[[#This Row],[Mid]]</f>
        <v>1.1403142857142856</v>
      </c>
      <c r="R38" s="23" t="str">
        <f t="shared" si="0"/>
        <v>Above Mid</v>
      </c>
      <c r="S38" s="23">
        <v>1</v>
      </c>
      <c r="T38" s="25">
        <f>INDEX('Merit Matrix'!$B$4:$F$8,
       MATCH($S38,'Merit Matrix'!$A$4:$A$8,0),
       MATCH(TRIM($R38),'Merit Matrix'!$B$3:$F$3,0))</f>
        <v>0</v>
      </c>
      <c r="U38" s="24">
        <f>Table13[[#This Row],[Salary increase %]]*Table13[[#This Row],[Monthly Gross Salary]]</f>
        <v>0</v>
      </c>
      <c r="V38" s="23">
        <f>Table13[[#This Row],[Salary increase Amount]]+Table13[[#This Row],[Monthly Gross Salary]]</f>
        <v>39911</v>
      </c>
      <c r="W38" s="75">
        <v>0.1</v>
      </c>
      <c r="X38" s="6">
        <f>Table13[[#This Row],[New Gross Salary]]*Table13[[#This Row],[STI %]]</f>
        <v>3991.1000000000004</v>
      </c>
      <c r="Y38" s="96">
        <v>0</v>
      </c>
      <c r="Z38" s="6">
        <f>Table13[[#This Row],[Target STI]]*Table13[[#This Row],[Multiplier]]</f>
        <v>0</v>
      </c>
      <c r="AA38" s="26">
        <v>0.3</v>
      </c>
      <c r="AB38" s="21" t="s">
        <v>6</v>
      </c>
      <c r="AC38" s="24">
        <f>(Table13[[#This Row],[New Gross Salary]]+Table13[[#This Row],[Final STI]])*Table13[[#This Row],[Tax %]]</f>
        <v>11973.3</v>
      </c>
      <c r="AD38" s="24">
        <f>Table13[[#This Row],[New Gross Salary]]*5%</f>
        <v>1995.5500000000002</v>
      </c>
      <c r="AE38" s="21" cm="1">
        <f t="array" ref="AE38">_xlfn.XLOOKUP(AB38,{"A","B","C"},{500,800,1200})</f>
        <v>1200</v>
      </c>
      <c r="AF38" s="24">
        <f t="shared" si="1"/>
        <v>15168.849999999999</v>
      </c>
      <c r="AG38" s="27">
        <f>Table13[[#This Row],[New Gross Salary]]+Table13[[#This Row],[Final STI]]-Table13[[#This Row],[Total Deductions
(Tax+Pension+HP)]]</f>
        <v>24742.15</v>
      </c>
    </row>
    <row r="39" spans="1:33" x14ac:dyDescent="0.2">
      <c r="A39" s="20">
        <v>1038</v>
      </c>
      <c r="B39" s="21" t="s">
        <v>50</v>
      </c>
      <c r="C39" s="21" t="s">
        <v>17</v>
      </c>
      <c r="D39" s="21" t="s">
        <v>558</v>
      </c>
      <c r="E39" s="22">
        <v>45292</v>
      </c>
      <c r="F39" s="21" t="s">
        <v>313</v>
      </c>
      <c r="G39" s="21" t="s">
        <v>524</v>
      </c>
      <c r="H39" s="21" t="s">
        <v>520</v>
      </c>
      <c r="I39" s="5" t="s">
        <v>661</v>
      </c>
      <c r="J39" s="21" t="s">
        <v>533</v>
      </c>
      <c r="K39" s="21" t="s">
        <v>536</v>
      </c>
      <c r="L39" s="23">
        <v>39911</v>
      </c>
      <c r="M39" s="23" t="s">
        <v>673</v>
      </c>
      <c r="N39" s="23">
        <v>30000</v>
      </c>
      <c r="O39" s="23">
        <v>35000</v>
      </c>
      <c r="P39" s="23">
        <v>40000</v>
      </c>
      <c r="Q39" s="24">
        <f>Table13[[#This Row],[Monthly Gross Salary]]/Table13[[#This Row],[Mid]]</f>
        <v>1.1403142857142856</v>
      </c>
      <c r="R39" s="23" t="str">
        <f t="shared" si="0"/>
        <v>Above Mid</v>
      </c>
      <c r="S39" s="23">
        <v>3</v>
      </c>
      <c r="T39" s="25">
        <f>INDEX('Merit Matrix'!$B$4:$F$8,
       MATCH($S39,'Merit Matrix'!$A$4:$A$8,0),
       MATCH(TRIM($R39),'Merit Matrix'!$B$3:$F$3,0))</f>
        <v>0.02</v>
      </c>
      <c r="U39" s="24">
        <f>Table13[[#This Row],[Salary increase %]]*Table13[[#This Row],[Monthly Gross Salary]]</f>
        <v>798.22</v>
      </c>
      <c r="V39" s="23">
        <f>Table13[[#This Row],[Salary increase Amount]]+Table13[[#This Row],[Monthly Gross Salary]]</f>
        <v>40709.22</v>
      </c>
      <c r="W39" s="75">
        <v>0.1</v>
      </c>
      <c r="X39" s="6">
        <f>Table13[[#This Row],[New Gross Salary]]*Table13[[#This Row],[STI %]]</f>
        <v>4070.9220000000005</v>
      </c>
      <c r="Y39" s="96">
        <v>1</v>
      </c>
      <c r="Z39" s="6">
        <f>Table13[[#This Row],[Target STI]]*Table13[[#This Row],[Multiplier]]</f>
        <v>4070.9220000000005</v>
      </c>
      <c r="AA39" s="26">
        <v>0.3</v>
      </c>
      <c r="AB39" s="21" t="s">
        <v>6</v>
      </c>
      <c r="AC39" s="24">
        <f>(Table13[[#This Row],[New Gross Salary]]+Table13[[#This Row],[Final STI]])*Table13[[#This Row],[Tax %]]</f>
        <v>13434.042599999999</v>
      </c>
      <c r="AD39" s="24">
        <f>Table13[[#This Row],[New Gross Salary]]*5%</f>
        <v>2035.4610000000002</v>
      </c>
      <c r="AE39" s="21" cm="1">
        <f t="array" ref="AE39">_xlfn.XLOOKUP(AB39,{"A","B","C"},{500,800,1200})</f>
        <v>1200</v>
      </c>
      <c r="AF39" s="24">
        <f t="shared" si="1"/>
        <v>16669.5036</v>
      </c>
      <c r="AG39" s="27">
        <f>Table13[[#This Row],[New Gross Salary]]+Table13[[#This Row],[Final STI]]-Table13[[#This Row],[Total Deductions
(Tax+Pension+HP)]]</f>
        <v>28110.6384</v>
      </c>
    </row>
    <row r="40" spans="1:33" x14ac:dyDescent="0.2">
      <c r="A40" s="20">
        <v>1039</v>
      </c>
      <c r="B40" s="21" t="s">
        <v>51</v>
      </c>
      <c r="C40" s="21" t="s">
        <v>8</v>
      </c>
      <c r="D40" s="21" t="s">
        <v>542</v>
      </c>
      <c r="E40" s="22">
        <v>45292</v>
      </c>
      <c r="F40" s="21" t="s">
        <v>314</v>
      </c>
      <c r="G40" s="21" t="s">
        <v>523</v>
      </c>
      <c r="H40" s="21" t="s">
        <v>520</v>
      </c>
      <c r="I40" s="5" t="s">
        <v>661</v>
      </c>
      <c r="J40" s="21" t="s">
        <v>533</v>
      </c>
      <c r="K40" s="21" t="s">
        <v>537</v>
      </c>
      <c r="L40" s="23">
        <v>41804</v>
      </c>
      <c r="M40" s="23" t="s">
        <v>673</v>
      </c>
      <c r="N40" s="23">
        <v>35000</v>
      </c>
      <c r="O40" s="23">
        <v>40000</v>
      </c>
      <c r="P40" s="23">
        <v>45000</v>
      </c>
      <c r="Q40" s="24">
        <f>Table13[[#This Row],[Monthly Gross Salary]]/Table13[[#This Row],[Mid]]</f>
        <v>1.0450999999999999</v>
      </c>
      <c r="R40" s="23" t="str">
        <f t="shared" si="0"/>
        <v>Around Mid</v>
      </c>
      <c r="S40" s="23">
        <v>3</v>
      </c>
      <c r="T40" s="25">
        <f>INDEX('Merit Matrix'!$B$4:$F$8,
       MATCH($S40,'Merit Matrix'!$A$4:$A$8,0),
       MATCH(TRIM($R40),'Merit Matrix'!$B$3:$F$3,0))</f>
        <v>2.5000000000000001E-2</v>
      </c>
      <c r="U40" s="24">
        <f>Table13[[#This Row],[Salary increase %]]*Table13[[#This Row],[Monthly Gross Salary]]</f>
        <v>1045.1000000000001</v>
      </c>
      <c r="V40" s="23">
        <f>Table13[[#This Row],[Salary increase Amount]]+Table13[[#This Row],[Monthly Gross Salary]]</f>
        <v>42849.1</v>
      </c>
      <c r="W40" s="75">
        <v>0.1</v>
      </c>
      <c r="X40" s="6">
        <f>Table13[[#This Row],[New Gross Salary]]*Table13[[#This Row],[STI %]]</f>
        <v>4284.91</v>
      </c>
      <c r="Y40" s="96">
        <v>1</v>
      </c>
      <c r="Z40" s="6">
        <f>Table13[[#This Row],[Target STI]]*Table13[[#This Row],[Multiplier]]</f>
        <v>4284.91</v>
      </c>
      <c r="AA40" s="26">
        <v>0.27</v>
      </c>
      <c r="AB40" s="21" t="s">
        <v>6</v>
      </c>
      <c r="AC40" s="24">
        <f>(Table13[[#This Row],[New Gross Salary]]+Table13[[#This Row],[Final STI]])*Table13[[#This Row],[Tax %]]</f>
        <v>12726.182699999999</v>
      </c>
      <c r="AD40" s="24">
        <f>Table13[[#This Row],[New Gross Salary]]*5%</f>
        <v>2142.4549999999999</v>
      </c>
      <c r="AE40" s="21" cm="1">
        <f t="array" ref="AE40">_xlfn.XLOOKUP(AB40,{"A","B","C"},{500,800,1200})</f>
        <v>1200</v>
      </c>
      <c r="AF40" s="24">
        <f t="shared" si="1"/>
        <v>16068.637699999999</v>
      </c>
      <c r="AG40" s="27">
        <f>Table13[[#This Row],[New Gross Salary]]+Table13[[#This Row],[Final STI]]-Table13[[#This Row],[Total Deductions
(Tax+Pension+HP)]]</f>
        <v>31065.372299999995</v>
      </c>
    </row>
    <row r="41" spans="1:33" x14ac:dyDescent="0.2">
      <c r="A41" s="20">
        <v>1040</v>
      </c>
      <c r="B41" s="21" t="s">
        <v>52</v>
      </c>
      <c r="C41" s="21" t="s">
        <v>14</v>
      </c>
      <c r="D41" s="21" t="s">
        <v>552</v>
      </c>
      <c r="E41" s="22">
        <v>44927</v>
      </c>
      <c r="F41" s="21" t="s">
        <v>315</v>
      </c>
      <c r="G41" s="21" t="s">
        <v>523</v>
      </c>
      <c r="H41" s="21" t="s">
        <v>520</v>
      </c>
      <c r="I41" s="5" t="s">
        <v>661</v>
      </c>
      <c r="J41" s="21" t="s">
        <v>533</v>
      </c>
      <c r="K41" s="21" t="s">
        <v>536</v>
      </c>
      <c r="L41" s="23">
        <v>39911</v>
      </c>
      <c r="M41" s="23" t="s">
        <v>673</v>
      </c>
      <c r="N41" s="23">
        <v>30000</v>
      </c>
      <c r="O41" s="23">
        <v>35000</v>
      </c>
      <c r="P41" s="23">
        <v>40000</v>
      </c>
      <c r="Q41" s="24">
        <f>Table13[[#This Row],[Monthly Gross Salary]]/Table13[[#This Row],[Mid]]</f>
        <v>1.1403142857142856</v>
      </c>
      <c r="R41" s="23" t="str">
        <f t="shared" si="0"/>
        <v>Above Mid</v>
      </c>
      <c r="S41" s="23">
        <v>1</v>
      </c>
      <c r="T41" s="25">
        <f>INDEX('Merit Matrix'!$B$4:$F$8,
       MATCH($S41,'Merit Matrix'!$A$4:$A$8,0),
       MATCH(TRIM($R41),'Merit Matrix'!$B$3:$F$3,0))</f>
        <v>0</v>
      </c>
      <c r="U41" s="24">
        <f>Table13[[#This Row],[Salary increase %]]*Table13[[#This Row],[Monthly Gross Salary]]</f>
        <v>0</v>
      </c>
      <c r="V41" s="23">
        <f>Table13[[#This Row],[Salary increase Amount]]+Table13[[#This Row],[Monthly Gross Salary]]</f>
        <v>39911</v>
      </c>
      <c r="W41" s="75">
        <v>0.1</v>
      </c>
      <c r="X41" s="6">
        <f>Table13[[#This Row],[New Gross Salary]]*Table13[[#This Row],[STI %]]</f>
        <v>3991.1000000000004</v>
      </c>
      <c r="Y41" s="96">
        <v>0</v>
      </c>
      <c r="Z41" s="6">
        <f>Table13[[#This Row],[Target STI]]*Table13[[#This Row],[Multiplier]]</f>
        <v>0</v>
      </c>
      <c r="AA41" s="26">
        <v>0.31</v>
      </c>
      <c r="AB41" s="21" t="s">
        <v>9</v>
      </c>
      <c r="AC41" s="24">
        <f>(Table13[[#This Row],[New Gross Salary]]+Table13[[#This Row],[Final STI]])*Table13[[#This Row],[Tax %]]</f>
        <v>12372.41</v>
      </c>
      <c r="AD41" s="24">
        <f>Table13[[#This Row],[New Gross Salary]]*5%</f>
        <v>1995.5500000000002</v>
      </c>
      <c r="AE41" s="21" cm="1">
        <f t="array" ref="AE41">_xlfn.XLOOKUP(AB41,{"A","B","C"},{500,800,1200})</f>
        <v>800</v>
      </c>
      <c r="AF41" s="24">
        <f t="shared" si="1"/>
        <v>15167.96</v>
      </c>
      <c r="AG41" s="27">
        <f>Table13[[#This Row],[New Gross Salary]]+Table13[[#This Row],[Final STI]]-Table13[[#This Row],[Total Deductions
(Tax+Pension+HP)]]</f>
        <v>24743.040000000001</v>
      </c>
    </row>
    <row r="42" spans="1:33" x14ac:dyDescent="0.2">
      <c r="A42" s="20">
        <v>1041</v>
      </c>
      <c r="B42" s="21" t="s">
        <v>53</v>
      </c>
      <c r="C42" s="21" t="s">
        <v>14</v>
      </c>
      <c r="D42" s="21" t="s">
        <v>552</v>
      </c>
      <c r="E42" s="22">
        <v>44927</v>
      </c>
      <c r="F42" s="21" t="s">
        <v>316</v>
      </c>
      <c r="G42" s="21" t="s">
        <v>523</v>
      </c>
      <c r="H42" s="21" t="s">
        <v>520</v>
      </c>
      <c r="I42" s="5" t="s">
        <v>661</v>
      </c>
      <c r="J42" s="21" t="s">
        <v>533</v>
      </c>
      <c r="K42" s="21" t="s">
        <v>536</v>
      </c>
      <c r="L42" s="23">
        <v>39911</v>
      </c>
      <c r="M42" s="23" t="s">
        <v>673</v>
      </c>
      <c r="N42" s="23">
        <v>30000</v>
      </c>
      <c r="O42" s="23">
        <v>35000</v>
      </c>
      <c r="P42" s="23">
        <v>40000</v>
      </c>
      <c r="Q42" s="24">
        <f>Table13[[#This Row],[Monthly Gross Salary]]/Table13[[#This Row],[Mid]]</f>
        <v>1.1403142857142856</v>
      </c>
      <c r="R42" s="23" t="str">
        <f t="shared" si="0"/>
        <v>Above Mid</v>
      </c>
      <c r="S42" s="23">
        <v>3</v>
      </c>
      <c r="T42" s="25">
        <f>INDEX('Merit Matrix'!$B$4:$F$8,
       MATCH($S42,'Merit Matrix'!$A$4:$A$8,0),
       MATCH(TRIM($R42),'Merit Matrix'!$B$3:$F$3,0))</f>
        <v>0.02</v>
      </c>
      <c r="U42" s="24">
        <f>Table13[[#This Row],[Salary increase %]]*Table13[[#This Row],[Monthly Gross Salary]]</f>
        <v>798.22</v>
      </c>
      <c r="V42" s="23">
        <f>Table13[[#This Row],[Salary increase Amount]]+Table13[[#This Row],[Monthly Gross Salary]]</f>
        <v>40709.22</v>
      </c>
      <c r="W42" s="75">
        <v>0.1</v>
      </c>
      <c r="X42" s="6">
        <f>Table13[[#This Row],[New Gross Salary]]*Table13[[#This Row],[STI %]]</f>
        <v>4070.9220000000005</v>
      </c>
      <c r="Y42" s="96">
        <v>1</v>
      </c>
      <c r="Z42" s="6">
        <f>Table13[[#This Row],[Target STI]]*Table13[[#This Row],[Multiplier]]</f>
        <v>4070.9220000000005</v>
      </c>
      <c r="AA42" s="26">
        <v>0.3</v>
      </c>
      <c r="AB42" s="21" t="s">
        <v>6</v>
      </c>
      <c r="AC42" s="24">
        <f>(Table13[[#This Row],[New Gross Salary]]+Table13[[#This Row],[Final STI]])*Table13[[#This Row],[Tax %]]</f>
        <v>13434.042599999999</v>
      </c>
      <c r="AD42" s="24">
        <f>Table13[[#This Row],[New Gross Salary]]*5%</f>
        <v>2035.4610000000002</v>
      </c>
      <c r="AE42" s="21" cm="1">
        <f t="array" ref="AE42">_xlfn.XLOOKUP(AB42,{"A","B","C"},{500,800,1200})</f>
        <v>1200</v>
      </c>
      <c r="AF42" s="24">
        <f t="shared" si="1"/>
        <v>16669.5036</v>
      </c>
      <c r="AG42" s="27">
        <f>Table13[[#This Row],[New Gross Salary]]+Table13[[#This Row],[Final STI]]-Table13[[#This Row],[Total Deductions
(Tax+Pension+HP)]]</f>
        <v>28110.6384</v>
      </c>
    </row>
    <row r="43" spans="1:33" x14ac:dyDescent="0.2">
      <c r="A43" s="20">
        <v>1042</v>
      </c>
      <c r="B43" s="21" t="s">
        <v>54</v>
      </c>
      <c r="C43" s="21" t="s">
        <v>42</v>
      </c>
      <c r="D43" s="21" t="s">
        <v>555</v>
      </c>
      <c r="E43" s="22">
        <v>44927</v>
      </c>
      <c r="F43" s="21" t="s">
        <v>317</v>
      </c>
      <c r="G43" s="21" t="s">
        <v>524</v>
      </c>
      <c r="H43" s="21" t="s">
        <v>520</v>
      </c>
      <c r="I43" s="5" t="s">
        <v>661</v>
      </c>
      <c r="J43" s="21" t="s">
        <v>533</v>
      </c>
      <c r="K43" s="21" t="s">
        <v>536</v>
      </c>
      <c r="L43" s="23">
        <v>32466</v>
      </c>
      <c r="M43" s="23" t="s">
        <v>673</v>
      </c>
      <c r="N43" s="23">
        <v>30000</v>
      </c>
      <c r="O43" s="23">
        <v>35000</v>
      </c>
      <c r="P43" s="23">
        <v>40000</v>
      </c>
      <c r="Q43" s="24">
        <f>Table13[[#This Row],[Monthly Gross Salary]]/Table13[[#This Row],[Mid]]</f>
        <v>0.92759999999999998</v>
      </c>
      <c r="R43" s="23" t="str">
        <f t="shared" si="0"/>
        <v>Below Mid</v>
      </c>
      <c r="S43" s="23">
        <v>3</v>
      </c>
      <c r="T43" s="25">
        <f>INDEX('Merit Matrix'!$B$4:$F$8,
       MATCH($S43,'Merit Matrix'!$A$4:$A$8,0),
       MATCH(TRIM($R43),'Merit Matrix'!$B$3:$F$3,0))</f>
        <v>0.03</v>
      </c>
      <c r="U43" s="24">
        <f>Table13[[#This Row],[Salary increase %]]*Table13[[#This Row],[Monthly Gross Salary]]</f>
        <v>973.98</v>
      </c>
      <c r="V43" s="23">
        <f>Table13[[#This Row],[Salary increase Amount]]+Table13[[#This Row],[Monthly Gross Salary]]</f>
        <v>33439.980000000003</v>
      </c>
      <c r="W43" s="75">
        <v>0.1</v>
      </c>
      <c r="X43" s="6">
        <f>Table13[[#This Row],[New Gross Salary]]*Table13[[#This Row],[STI %]]</f>
        <v>3343.9980000000005</v>
      </c>
      <c r="Y43" s="96">
        <v>1</v>
      </c>
      <c r="Z43" s="6">
        <f>Table13[[#This Row],[Target STI]]*Table13[[#This Row],[Multiplier]]</f>
        <v>3343.9980000000005</v>
      </c>
      <c r="AA43" s="26">
        <v>0.31</v>
      </c>
      <c r="AB43" s="21" t="s">
        <v>9</v>
      </c>
      <c r="AC43" s="24">
        <f>(Table13[[#This Row],[New Gross Salary]]+Table13[[#This Row],[Final STI]])*Table13[[#This Row],[Tax %]]</f>
        <v>11403.03318</v>
      </c>
      <c r="AD43" s="24">
        <f>Table13[[#This Row],[New Gross Salary]]*5%</f>
        <v>1671.9990000000003</v>
      </c>
      <c r="AE43" s="21" cm="1">
        <f t="array" ref="AE43">_xlfn.XLOOKUP(AB43,{"A","B","C"},{500,800,1200})</f>
        <v>800</v>
      </c>
      <c r="AF43" s="24">
        <f t="shared" si="1"/>
        <v>13875.03218</v>
      </c>
      <c r="AG43" s="27">
        <f>Table13[[#This Row],[New Gross Salary]]+Table13[[#This Row],[Final STI]]-Table13[[#This Row],[Total Deductions
(Tax+Pension+HP)]]</f>
        <v>22908.945820000001</v>
      </c>
    </row>
    <row r="44" spans="1:33" x14ac:dyDescent="0.2">
      <c r="A44" s="20">
        <v>1043</v>
      </c>
      <c r="B44" s="21" t="s">
        <v>55</v>
      </c>
      <c r="C44" s="21" t="s">
        <v>8</v>
      </c>
      <c r="D44" s="21" t="s">
        <v>542</v>
      </c>
      <c r="E44" s="22">
        <v>45292</v>
      </c>
      <c r="F44" s="21" t="s">
        <v>318</v>
      </c>
      <c r="G44" s="21" t="s">
        <v>523</v>
      </c>
      <c r="H44" s="21" t="s">
        <v>520</v>
      </c>
      <c r="I44" s="5" t="s">
        <v>661</v>
      </c>
      <c r="J44" s="21" t="s">
        <v>533</v>
      </c>
      <c r="K44" s="21" t="s">
        <v>537</v>
      </c>
      <c r="L44" s="23">
        <v>41804</v>
      </c>
      <c r="M44" s="23" t="s">
        <v>673</v>
      </c>
      <c r="N44" s="23">
        <v>35000</v>
      </c>
      <c r="O44" s="23">
        <v>40000</v>
      </c>
      <c r="P44" s="23">
        <v>45000</v>
      </c>
      <c r="Q44" s="24">
        <f>Table13[[#This Row],[Monthly Gross Salary]]/Table13[[#This Row],[Mid]]</f>
        <v>1.0450999999999999</v>
      </c>
      <c r="R44" s="23" t="str">
        <f t="shared" si="0"/>
        <v>Around Mid</v>
      </c>
      <c r="S44" s="23">
        <v>3</v>
      </c>
      <c r="T44" s="25">
        <f>INDEX('Merit Matrix'!$B$4:$F$8,
       MATCH($S44,'Merit Matrix'!$A$4:$A$8,0),
       MATCH(TRIM($R44),'Merit Matrix'!$B$3:$F$3,0))</f>
        <v>2.5000000000000001E-2</v>
      </c>
      <c r="U44" s="24">
        <f>Table13[[#This Row],[Salary increase %]]*Table13[[#This Row],[Monthly Gross Salary]]</f>
        <v>1045.1000000000001</v>
      </c>
      <c r="V44" s="23">
        <f>Table13[[#This Row],[Salary increase Amount]]+Table13[[#This Row],[Monthly Gross Salary]]</f>
        <v>42849.1</v>
      </c>
      <c r="W44" s="75">
        <v>0.1</v>
      </c>
      <c r="X44" s="6">
        <f>Table13[[#This Row],[New Gross Salary]]*Table13[[#This Row],[STI %]]</f>
        <v>4284.91</v>
      </c>
      <c r="Y44" s="96">
        <v>1</v>
      </c>
      <c r="Z44" s="6">
        <f>Table13[[#This Row],[Target STI]]*Table13[[#This Row],[Multiplier]]</f>
        <v>4284.91</v>
      </c>
      <c r="AA44" s="26">
        <v>0.3</v>
      </c>
      <c r="AB44" s="21" t="s">
        <v>6</v>
      </c>
      <c r="AC44" s="24">
        <f>(Table13[[#This Row],[New Gross Salary]]+Table13[[#This Row],[Final STI]])*Table13[[#This Row],[Tax %]]</f>
        <v>14140.202999999998</v>
      </c>
      <c r="AD44" s="24">
        <f>Table13[[#This Row],[New Gross Salary]]*5%</f>
        <v>2142.4549999999999</v>
      </c>
      <c r="AE44" s="21" cm="1">
        <f t="array" ref="AE44">_xlfn.XLOOKUP(AB44,{"A","B","C"},{500,800,1200})</f>
        <v>1200</v>
      </c>
      <c r="AF44" s="24">
        <f t="shared" si="1"/>
        <v>17482.657999999996</v>
      </c>
      <c r="AG44" s="27">
        <f>Table13[[#This Row],[New Gross Salary]]+Table13[[#This Row],[Final STI]]-Table13[[#This Row],[Total Deductions
(Tax+Pension+HP)]]</f>
        <v>29651.351999999999</v>
      </c>
    </row>
    <row r="45" spans="1:33" x14ac:dyDescent="0.2">
      <c r="A45" s="20">
        <v>1044</v>
      </c>
      <c r="B45" s="21" t="s">
        <v>56</v>
      </c>
      <c r="C45" s="21" t="s">
        <v>14</v>
      </c>
      <c r="D45" s="21" t="s">
        <v>552</v>
      </c>
      <c r="E45" s="22">
        <v>44927</v>
      </c>
      <c r="F45" s="21" t="s">
        <v>319</v>
      </c>
      <c r="G45" s="21" t="s">
        <v>523</v>
      </c>
      <c r="H45" s="21" t="s">
        <v>520</v>
      </c>
      <c r="I45" s="5" t="s">
        <v>661</v>
      </c>
      <c r="J45" s="21" t="s">
        <v>533</v>
      </c>
      <c r="K45" s="21" t="s">
        <v>536</v>
      </c>
      <c r="L45" s="23">
        <v>32466</v>
      </c>
      <c r="M45" s="23" t="s">
        <v>673</v>
      </c>
      <c r="N45" s="23">
        <v>30000</v>
      </c>
      <c r="O45" s="23">
        <v>35000</v>
      </c>
      <c r="P45" s="23">
        <v>40000</v>
      </c>
      <c r="Q45" s="24">
        <f>Table13[[#This Row],[Monthly Gross Salary]]/Table13[[#This Row],[Mid]]</f>
        <v>0.92759999999999998</v>
      </c>
      <c r="R45" s="23" t="str">
        <f t="shared" si="0"/>
        <v>Below Mid</v>
      </c>
      <c r="S45" s="23">
        <v>3</v>
      </c>
      <c r="T45" s="25">
        <f>INDEX('Merit Matrix'!$B$4:$F$8,
       MATCH($S45,'Merit Matrix'!$A$4:$A$8,0),
       MATCH(TRIM($R45),'Merit Matrix'!$B$3:$F$3,0))</f>
        <v>0.03</v>
      </c>
      <c r="U45" s="24">
        <f>Table13[[#This Row],[Salary increase %]]*Table13[[#This Row],[Monthly Gross Salary]]</f>
        <v>973.98</v>
      </c>
      <c r="V45" s="23">
        <f>Table13[[#This Row],[Salary increase Amount]]+Table13[[#This Row],[Monthly Gross Salary]]</f>
        <v>33439.980000000003</v>
      </c>
      <c r="W45" s="75">
        <v>0.1</v>
      </c>
      <c r="X45" s="6">
        <f>Table13[[#This Row],[New Gross Salary]]*Table13[[#This Row],[STI %]]</f>
        <v>3343.9980000000005</v>
      </c>
      <c r="Y45" s="96">
        <v>1</v>
      </c>
      <c r="Z45" s="6">
        <f>Table13[[#This Row],[Target STI]]*Table13[[#This Row],[Multiplier]]</f>
        <v>3343.9980000000005</v>
      </c>
      <c r="AA45" s="26">
        <v>0.28999999999999998</v>
      </c>
      <c r="AB45" s="21" t="s">
        <v>9</v>
      </c>
      <c r="AC45" s="24">
        <f>(Table13[[#This Row],[New Gross Salary]]+Table13[[#This Row],[Final STI]])*Table13[[#This Row],[Tax %]]</f>
        <v>10667.35362</v>
      </c>
      <c r="AD45" s="24">
        <f>Table13[[#This Row],[New Gross Salary]]*5%</f>
        <v>1671.9990000000003</v>
      </c>
      <c r="AE45" s="21" cm="1">
        <f t="array" ref="AE45">_xlfn.XLOOKUP(AB45,{"A","B","C"},{500,800,1200})</f>
        <v>800</v>
      </c>
      <c r="AF45" s="24">
        <f t="shared" si="1"/>
        <v>13139.35262</v>
      </c>
      <c r="AG45" s="27">
        <f>Table13[[#This Row],[New Gross Salary]]+Table13[[#This Row],[Final STI]]-Table13[[#This Row],[Total Deductions
(Tax+Pension+HP)]]</f>
        <v>23644.625380000005</v>
      </c>
    </row>
    <row r="46" spans="1:33" x14ac:dyDescent="0.2">
      <c r="A46" s="20">
        <v>1045</v>
      </c>
      <c r="B46" s="21" t="s">
        <v>57</v>
      </c>
      <c r="C46" s="21" t="s">
        <v>42</v>
      </c>
      <c r="D46" s="21" t="s">
        <v>555</v>
      </c>
      <c r="E46" s="22">
        <v>44927</v>
      </c>
      <c r="F46" s="21" t="s">
        <v>320</v>
      </c>
      <c r="G46" s="21" t="s">
        <v>524</v>
      </c>
      <c r="H46" s="21" t="s">
        <v>520</v>
      </c>
      <c r="I46" s="5" t="s">
        <v>661</v>
      </c>
      <c r="J46" s="21" t="s">
        <v>533</v>
      </c>
      <c r="K46" s="21" t="s">
        <v>536</v>
      </c>
      <c r="L46" s="23">
        <v>32466</v>
      </c>
      <c r="M46" s="23" t="s">
        <v>673</v>
      </c>
      <c r="N46" s="23">
        <v>30000</v>
      </c>
      <c r="O46" s="23">
        <v>35000</v>
      </c>
      <c r="P46" s="23">
        <v>40000</v>
      </c>
      <c r="Q46" s="24">
        <f>Table13[[#This Row],[Monthly Gross Salary]]/Table13[[#This Row],[Mid]]</f>
        <v>0.92759999999999998</v>
      </c>
      <c r="R46" s="23" t="str">
        <f t="shared" si="0"/>
        <v>Below Mid</v>
      </c>
      <c r="S46" s="23">
        <v>3</v>
      </c>
      <c r="T46" s="25">
        <f>INDEX('Merit Matrix'!$B$4:$F$8,
       MATCH($S46,'Merit Matrix'!$A$4:$A$8,0),
       MATCH(TRIM($R46),'Merit Matrix'!$B$3:$F$3,0))</f>
        <v>0.03</v>
      </c>
      <c r="U46" s="24">
        <f>Table13[[#This Row],[Salary increase %]]*Table13[[#This Row],[Monthly Gross Salary]]</f>
        <v>973.98</v>
      </c>
      <c r="V46" s="23">
        <f>Table13[[#This Row],[Salary increase Amount]]+Table13[[#This Row],[Monthly Gross Salary]]</f>
        <v>33439.980000000003</v>
      </c>
      <c r="W46" s="75">
        <v>0.1</v>
      </c>
      <c r="X46" s="6">
        <f>Table13[[#This Row],[New Gross Salary]]*Table13[[#This Row],[STI %]]</f>
        <v>3343.9980000000005</v>
      </c>
      <c r="Y46" s="96">
        <v>1</v>
      </c>
      <c r="Z46" s="6">
        <f>Table13[[#This Row],[Target STI]]*Table13[[#This Row],[Multiplier]]</f>
        <v>3343.9980000000005</v>
      </c>
      <c r="AA46" s="26">
        <v>0.27</v>
      </c>
      <c r="AB46" s="21" t="s">
        <v>18</v>
      </c>
      <c r="AC46" s="24">
        <f>(Table13[[#This Row],[New Gross Salary]]+Table13[[#This Row],[Final STI]])*Table13[[#This Row],[Tax %]]</f>
        <v>9931.6740600000012</v>
      </c>
      <c r="AD46" s="24">
        <f>Table13[[#This Row],[New Gross Salary]]*5%</f>
        <v>1671.9990000000003</v>
      </c>
      <c r="AE46" s="21" cm="1">
        <f t="array" ref="AE46">_xlfn.XLOOKUP(AB46,{"A","B","C"},{500,800,1200})</f>
        <v>500</v>
      </c>
      <c r="AF46" s="24">
        <f t="shared" si="1"/>
        <v>12103.673060000001</v>
      </c>
      <c r="AG46" s="27">
        <f>Table13[[#This Row],[New Gross Salary]]+Table13[[#This Row],[Final STI]]-Table13[[#This Row],[Total Deductions
(Tax+Pension+HP)]]</f>
        <v>24680.304940000002</v>
      </c>
    </row>
    <row r="47" spans="1:33" x14ac:dyDescent="0.2">
      <c r="A47" s="20">
        <v>1046</v>
      </c>
      <c r="B47" s="21" t="s">
        <v>58</v>
      </c>
      <c r="C47" s="21" t="s">
        <v>8</v>
      </c>
      <c r="D47" s="21" t="s">
        <v>542</v>
      </c>
      <c r="E47" s="22">
        <v>45292</v>
      </c>
      <c r="F47" s="21" t="s">
        <v>321</v>
      </c>
      <c r="G47" s="21" t="s">
        <v>523</v>
      </c>
      <c r="H47" s="21" t="s">
        <v>520</v>
      </c>
      <c r="I47" s="5" t="s">
        <v>661</v>
      </c>
      <c r="J47" s="21" t="s">
        <v>533</v>
      </c>
      <c r="K47" s="21" t="s">
        <v>537</v>
      </c>
      <c r="L47" s="23">
        <v>45249</v>
      </c>
      <c r="M47" s="23" t="s">
        <v>673</v>
      </c>
      <c r="N47" s="23">
        <v>35000</v>
      </c>
      <c r="O47" s="23">
        <v>40000</v>
      </c>
      <c r="P47" s="23">
        <v>45000</v>
      </c>
      <c r="Q47" s="24">
        <f>Table13[[#This Row],[Monthly Gross Salary]]/Table13[[#This Row],[Mid]]</f>
        <v>1.1312249999999999</v>
      </c>
      <c r="R47" s="23" t="str">
        <f t="shared" si="0"/>
        <v>Above Mid</v>
      </c>
      <c r="S47" s="23">
        <v>3</v>
      </c>
      <c r="T47" s="25">
        <f>INDEX('Merit Matrix'!$B$4:$F$8,
       MATCH($S47,'Merit Matrix'!$A$4:$A$8,0),
       MATCH(TRIM($R47),'Merit Matrix'!$B$3:$F$3,0))</f>
        <v>0.02</v>
      </c>
      <c r="U47" s="24">
        <f>Table13[[#This Row],[Salary increase %]]*Table13[[#This Row],[Monthly Gross Salary]]</f>
        <v>904.98</v>
      </c>
      <c r="V47" s="23">
        <f>Table13[[#This Row],[Salary increase Amount]]+Table13[[#This Row],[Monthly Gross Salary]]</f>
        <v>46153.98</v>
      </c>
      <c r="W47" s="75">
        <v>0.1</v>
      </c>
      <c r="X47" s="6">
        <f>Table13[[#This Row],[New Gross Salary]]*Table13[[#This Row],[STI %]]</f>
        <v>4615.3980000000001</v>
      </c>
      <c r="Y47" s="96">
        <v>1</v>
      </c>
      <c r="Z47" s="6">
        <f>Table13[[#This Row],[Target STI]]*Table13[[#This Row],[Multiplier]]</f>
        <v>4615.3980000000001</v>
      </c>
      <c r="AA47" s="26">
        <v>0.3</v>
      </c>
      <c r="AB47" s="21" t="s">
        <v>18</v>
      </c>
      <c r="AC47" s="24">
        <f>(Table13[[#This Row],[New Gross Salary]]+Table13[[#This Row],[Final STI]])*Table13[[#This Row],[Tax %]]</f>
        <v>15230.813400000001</v>
      </c>
      <c r="AD47" s="24">
        <f>Table13[[#This Row],[New Gross Salary]]*5%</f>
        <v>2307.6990000000001</v>
      </c>
      <c r="AE47" s="21" cm="1">
        <f t="array" ref="AE47">_xlfn.XLOOKUP(AB47,{"A","B","C"},{500,800,1200})</f>
        <v>500</v>
      </c>
      <c r="AF47" s="24">
        <f t="shared" si="1"/>
        <v>18038.5124</v>
      </c>
      <c r="AG47" s="27">
        <f>Table13[[#This Row],[New Gross Salary]]+Table13[[#This Row],[Final STI]]-Table13[[#This Row],[Total Deductions
(Tax+Pension+HP)]]</f>
        <v>32730.865600000005</v>
      </c>
    </row>
    <row r="48" spans="1:33" x14ac:dyDescent="0.2">
      <c r="A48" s="20">
        <v>1047</v>
      </c>
      <c r="B48" s="21" t="s">
        <v>59</v>
      </c>
      <c r="C48" s="21" t="s">
        <v>42</v>
      </c>
      <c r="D48" s="21" t="s">
        <v>555</v>
      </c>
      <c r="E48" s="22">
        <v>44927</v>
      </c>
      <c r="F48" s="21" t="s">
        <v>322</v>
      </c>
      <c r="G48" s="21" t="s">
        <v>524</v>
      </c>
      <c r="H48" s="21" t="s">
        <v>520</v>
      </c>
      <c r="I48" s="5" t="s">
        <v>661</v>
      </c>
      <c r="J48" s="21" t="s">
        <v>533</v>
      </c>
      <c r="K48" s="21" t="s">
        <v>536</v>
      </c>
      <c r="L48" s="23">
        <v>32466</v>
      </c>
      <c r="M48" s="23" t="s">
        <v>673</v>
      </c>
      <c r="N48" s="23">
        <v>30000</v>
      </c>
      <c r="O48" s="23">
        <v>35000</v>
      </c>
      <c r="P48" s="23">
        <v>40000</v>
      </c>
      <c r="Q48" s="24">
        <f>Table13[[#This Row],[Monthly Gross Salary]]/Table13[[#This Row],[Mid]]</f>
        <v>0.92759999999999998</v>
      </c>
      <c r="R48" s="23" t="str">
        <f t="shared" si="0"/>
        <v>Below Mid</v>
      </c>
      <c r="S48" s="23">
        <v>3</v>
      </c>
      <c r="T48" s="25">
        <f>INDEX('Merit Matrix'!$B$4:$F$8,
       MATCH($S48,'Merit Matrix'!$A$4:$A$8,0),
       MATCH(TRIM($R48),'Merit Matrix'!$B$3:$F$3,0))</f>
        <v>0.03</v>
      </c>
      <c r="U48" s="24">
        <f>Table13[[#This Row],[Salary increase %]]*Table13[[#This Row],[Monthly Gross Salary]]</f>
        <v>973.98</v>
      </c>
      <c r="V48" s="23">
        <f>Table13[[#This Row],[Salary increase Amount]]+Table13[[#This Row],[Monthly Gross Salary]]</f>
        <v>33439.980000000003</v>
      </c>
      <c r="W48" s="75">
        <v>0.1</v>
      </c>
      <c r="X48" s="6">
        <f>Table13[[#This Row],[New Gross Salary]]*Table13[[#This Row],[STI %]]</f>
        <v>3343.9980000000005</v>
      </c>
      <c r="Y48" s="96">
        <v>1</v>
      </c>
      <c r="Z48" s="6">
        <f>Table13[[#This Row],[Target STI]]*Table13[[#This Row],[Multiplier]]</f>
        <v>3343.9980000000005</v>
      </c>
      <c r="AA48" s="26">
        <v>0.32</v>
      </c>
      <c r="AB48" s="21" t="s">
        <v>6</v>
      </c>
      <c r="AC48" s="24">
        <f>(Table13[[#This Row],[New Gross Salary]]+Table13[[#This Row],[Final STI]])*Table13[[#This Row],[Tax %]]</f>
        <v>11770.872960000001</v>
      </c>
      <c r="AD48" s="24">
        <f>Table13[[#This Row],[New Gross Salary]]*5%</f>
        <v>1671.9990000000003</v>
      </c>
      <c r="AE48" s="21" cm="1">
        <f t="array" ref="AE48">_xlfn.XLOOKUP(AB48,{"A","B","C"},{500,800,1200})</f>
        <v>1200</v>
      </c>
      <c r="AF48" s="24">
        <f t="shared" si="1"/>
        <v>14642.87196</v>
      </c>
      <c r="AG48" s="27">
        <f>Table13[[#This Row],[New Gross Salary]]+Table13[[#This Row],[Final STI]]-Table13[[#This Row],[Total Deductions
(Tax+Pension+HP)]]</f>
        <v>22141.106040000002</v>
      </c>
    </row>
    <row r="49" spans="1:33" x14ac:dyDescent="0.2">
      <c r="A49" s="20">
        <v>1048</v>
      </c>
      <c r="B49" s="21" t="s">
        <v>60</v>
      </c>
      <c r="C49" s="21" t="s">
        <v>8</v>
      </c>
      <c r="D49" s="21" t="s">
        <v>542</v>
      </c>
      <c r="E49" s="22">
        <v>45292</v>
      </c>
      <c r="F49" s="21" t="s">
        <v>323</v>
      </c>
      <c r="G49" s="21" t="s">
        <v>523</v>
      </c>
      <c r="H49" s="21" t="s">
        <v>520</v>
      </c>
      <c r="I49" s="5" t="s">
        <v>661</v>
      </c>
      <c r="J49" s="21" t="s">
        <v>533</v>
      </c>
      <c r="K49" s="21" t="s">
        <v>537</v>
      </c>
      <c r="L49" s="23">
        <v>45249</v>
      </c>
      <c r="M49" s="23" t="s">
        <v>673</v>
      </c>
      <c r="N49" s="23">
        <v>35000</v>
      </c>
      <c r="O49" s="23">
        <v>40000</v>
      </c>
      <c r="P49" s="23">
        <v>45000</v>
      </c>
      <c r="Q49" s="24">
        <f>Table13[[#This Row],[Monthly Gross Salary]]/Table13[[#This Row],[Mid]]</f>
        <v>1.1312249999999999</v>
      </c>
      <c r="R49" s="23" t="str">
        <f t="shared" si="0"/>
        <v>Above Mid</v>
      </c>
      <c r="S49" s="23">
        <v>3</v>
      </c>
      <c r="T49" s="25">
        <f>INDEX('Merit Matrix'!$B$4:$F$8,
       MATCH($S49,'Merit Matrix'!$A$4:$A$8,0),
       MATCH(TRIM($R49),'Merit Matrix'!$B$3:$F$3,0))</f>
        <v>0.02</v>
      </c>
      <c r="U49" s="24">
        <f>Table13[[#This Row],[Salary increase %]]*Table13[[#This Row],[Monthly Gross Salary]]</f>
        <v>904.98</v>
      </c>
      <c r="V49" s="23">
        <f>Table13[[#This Row],[Salary increase Amount]]+Table13[[#This Row],[Monthly Gross Salary]]</f>
        <v>46153.98</v>
      </c>
      <c r="W49" s="75">
        <v>0.1</v>
      </c>
      <c r="X49" s="6">
        <f>Table13[[#This Row],[New Gross Salary]]*Table13[[#This Row],[STI %]]</f>
        <v>4615.3980000000001</v>
      </c>
      <c r="Y49" s="96">
        <v>1</v>
      </c>
      <c r="Z49" s="6">
        <f>Table13[[#This Row],[Target STI]]*Table13[[#This Row],[Multiplier]]</f>
        <v>4615.3980000000001</v>
      </c>
      <c r="AA49" s="26">
        <v>0.28999999999999998</v>
      </c>
      <c r="AB49" s="21" t="s">
        <v>9</v>
      </c>
      <c r="AC49" s="24">
        <f>(Table13[[#This Row],[New Gross Salary]]+Table13[[#This Row],[Final STI]])*Table13[[#This Row],[Tax %]]</f>
        <v>14723.119619999999</v>
      </c>
      <c r="AD49" s="24">
        <f>Table13[[#This Row],[New Gross Salary]]*5%</f>
        <v>2307.6990000000001</v>
      </c>
      <c r="AE49" s="21" cm="1">
        <f t="array" ref="AE49">_xlfn.XLOOKUP(AB49,{"A","B","C"},{500,800,1200})</f>
        <v>800</v>
      </c>
      <c r="AF49" s="24">
        <f t="shared" si="1"/>
        <v>17830.818619999998</v>
      </c>
      <c r="AG49" s="27">
        <f>Table13[[#This Row],[New Gross Salary]]+Table13[[#This Row],[Final STI]]-Table13[[#This Row],[Total Deductions
(Tax+Pension+HP)]]</f>
        <v>32938.559380000006</v>
      </c>
    </row>
    <row r="50" spans="1:33" x14ac:dyDescent="0.2">
      <c r="A50" s="20">
        <v>1049</v>
      </c>
      <c r="B50" s="21" t="s">
        <v>61</v>
      </c>
      <c r="C50" s="21" t="s">
        <v>5</v>
      </c>
      <c r="D50" s="21" t="s">
        <v>548</v>
      </c>
      <c r="E50" s="22">
        <v>44927</v>
      </c>
      <c r="F50" s="21" t="s">
        <v>324</v>
      </c>
      <c r="G50" s="21" t="s">
        <v>523</v>
      </c>
      <c r="H50" s="21" t="s">
        <v>520</v>
      </c>
      <c r="I50" s="5" t="s">
        <v>661</v>
      </c>
      <c r="J50" s="21" t="s">
        <v>533</v>
      </c>
      <c r="K50" s="21" t="s">
        <v>536</v>
      </c>
      <c r="L50" s="23">
        <v>32466</v>
      </c>
      <c r="M50" s="23" t="s">
        <v>673</v>
      </c>
      <c r="N50" s="23">
        <v>30000</v>
      </c>
      <c r="O50" s="23">
        <v>35000</v>
      </c>
      <c r="P50" s="23">
        <v>40000</v>
      </c>
      <c r="Q50" s="24">
        <f>Table13[[#This Row],[Monthly Gross Salary]]/Table13[[#This Row],[Mid]]</f>
        <v>0.92759999999999998</v>
      </c>
      <c r="R50" s="23" t="str">
        <f t="shared" si="0"/>
        <v>Below Mid</v>
      </c>
      <c r="S50" s="23">
        <v>3</v>
      </c>
      <c r="T50" s="25">
        <f>INDEX('Merit Matrix'!$B$4:$F$8,
       MATCH($S50,'Merit Matrix'!$A$4:$A$8,0),
       MATCH(TRIM($R50),'Merit Matrix'!$B$3:$F$3,0))</f>
        <v>0.03</v>
      </c>
      <c r="U50" s="24">
        <f>Table13[[#This Row],[Salary increase %]]*Table13[[#This Row],[Monthly Gross Salary]]</f>
        <v>973.98</v>
      </c>
      <c r="V50" s="23">
        <f>Table13[[#This Row],[Salary increase Amount]]+Table13[[#This Row],[Monthly Gross Salary]]</f>
        <v>33439.980000000003</v>
      </c>
      <c r="W50" s="75">
        <v>0.1</v>
      </c>
      <c r="X50" s="6">
        <f>Table13[[#This Row],[New Gross Salary]]*Table13[[#This Row],[STI %]]</f>
        <v>3343.9980000000005</v>
      </c>
      <c r="Y50" s="96">
        <v>1</v>
      </c>
      <c r="Z50" s="6">
        <f>Table13[[#This Row],[Target STI]]*Table13[[#This Row],[Multiplier]]</f>
        <v>3343.9980000000005</v>
      </c>
      <c r="AA50" s="26">
        <v>0.3</v>
      </c>
      <c r="AB50" s="21" t="s">
        <v>6</v>
      </c>
      <c r="AC50" s="24">
        <f>(Table13[[#This Row],[New Gross Salary]]+Table13[[#This Row],[Final STI]])*Table13[[#This Row],[Tax %]]</f>
        <v>11035.1934</v>
      </c>
      <c r="AD50" s="24">
        <f>Table13[[#This Row],[New Gross Salary]]*5%</f>
        <v>1671.9990000000003</v>
      </c>
      <c r="AE50" s="21" cm="1">
        <f t="array" ref="AE50">_xlfn.XLOOKUP(AB50,{"A","B","C"},{500,800,1200})</f>
        <v>1200</v>
      </c>
      <c r="AF50" s="24">
        <f t="shared" si="1"/>
        <v>13907.1924</v>
      </c>
      <c r="AG50" s="27">
        <f>Table13[[#This Row],[New Gross Salary]]+Table13[[#This Row],[Final STI]]-Table13[[#This Row],[Total Deductions
(Tax+Pension+HP)]]</f>
        <v>22876.785600000003</v>
      </c>
    </row>
    <row r="51" spans="1:33" x14ac:dyDescent="0.2">
      <c r="A51" s="20">
        <v>1050</v>
      </c>
      <c r="B51" s="21" t="s">
        <v>62</v>
      </c>
      <c r="C51" s="21" t="s">
        <v>5</v>
      </c>
      <c r="D51" s="21" t="s">
        <v>548</v>
      </c>
      <c r="E51" s="22">
        <v>44927</v>
      </c>
      <c r="F51" s="21" t="s">
        <v>325</v>
      </c>
      <c r="G51" s="21" t="s">
        <v>523</v>
      </c>
      <c r="H51" s="21" t="s">
        <v>520</v>
      </c>
      <c r="I51" s="5" t="s">
        <v>661</v>
      </c>
      <c r="J51" s="21" t="s">
        <v>533</v>
      </c>
      <c r="K51" s="21" t="s">
        <v>536</v>
      </c>
      <c r="L51" s="23">
        <v>32466</v>
      </c>
      <c r="M51" s="23" t="s">
        <v>673</v>
      </c>
      <c r="N51" s="23">
        <v>30000</v>
      </c>
      <c r="O51" s="23">
        <v>35000</v>
      </c>
      <c r="P51" s="23">
        <v>40000</v>
      </c>
      <c r="Q51" s="24">
        <f>Table13[[#This Row],[Monthly Gross Salary]]/Table13[[#This Row],[Mid]]</f>
        <v>0.92759999999999998</v>
      </c>
      <c r="R51" s="23" t="str">
        <f t="shared" si="0"/>
        <v>Below Mid</v>
      </c>
      <c r="S51" s="23">
        <v>3</v>
      </c>
      <c r="T51" s="25">
        <f>INDEX('Merit Matrix'!$B$4:$F$8,
       MATCH($S51,'Merit Matrix'!$A$4:$A$8,0),
       MATCH(TRIM($R51),'Merit Matrix'!$B$3:$F$3,0))</f>
        <v>0.03</v>
      </c>
      <c r="U51" s="24">
        <f>Table13[[#This Row],[Salary increase %]]*Table13[[#This Row],[Monthly Gross Salary]]</f>
        <v>973.98</v>
      </c>
      <c r="V51" s="23">
        <f>Table13[[#This Row],[Salary increase Amount]]+Table13[[#This Row],[Monthly Gross Salary]]</f>
        <v>33439.980000000003</v>
      </c>
      <c r="W51" s="75">
        <v>0.1</v>
      </c>
      <c r="X51" s="6">
        <f>Table13[[#This Row],[New Gross Salary]]*Table13[[#This Row],[STI %]]</f>
        <v>3343.9980000000005</v>
      </c>
      <c r="Y51" s="96">
        <v>1</v>
      </c>
      <c r="Z51" s="6">
        <f>Table13[[#This Row],[Target STI]]*Table13[[#This Row],[Multiplier]]</f>
        <v>3343.9980000000005</v>
      </c>
      <c r="AA51" s="26">
        <v>0.3</v>
      </c>
      <c r="AB51" s="21" t="s">
        <v>6</v>
      </c>
      <c r="AC51" s="24">
        <f>(Table13[[#This Row],[New Gross Salary]]+Table13[[#This Row],[Final STI]])*Table13[[#This Row],[Tax %]]</f>
        <v>11035.1934</v>
      </c>
      <c r="AD51" s="24">
        <f>Table13[[#This Row],[New Gross Salary]]*5%</f>
        <v>1671.9990000000003</v>
      </c>
      <c r="AE51" s="21" cm="1">
        <f t="array" ref="AE51">_xlfn.XLOOKUP(AB51,{"A","B","C"},{500,800,1200})</f>
        <v>1200</v>
      </c>
      <c r="AF51" s="24">
        <f t="shared" si="1"/>
        <v>13907.1924</v>
      </c>
      <c r="AG51" s="27">
        <f>Table13[[#This Row],[New Gross Salary]]+Table13[[#This Row],[Final STI]]-Table13[[#This Row],[Total Deductions
(Tax+Pension+HP)]]</f>
        <v>22876.785600000003</v>
      </c>
    </row>
    <row r="52" spans="1:33" x14ac:dyDescent="0.2">
      <c r="A52" s="20">
        <v>1051</v>
      </c>
      <c r="B52" s="21" t="s">
        <v>63</v>
      </c>
      <c r="C52" s="21" t="s">
        <v>11</v>
      </c>
      <c r="D52" s="21" t="s">
        <v>528</v>
      </c>
      <c r="E52" s="22">
        <v>45292</v>
      </c>
      <c r="F52" s="21" t="s">
        <v>326</v>
      </c>
      <c r="G52" s="21" t="s">
        <v>523</v>
      </c>
      <c r="H52" s="21" t="s">
        <v>520</v>
      </c>
      <c r="I52" s="5" t="s">
        <v>661</v>
      </c>
      <c r="J52" s="21" t="s">
        <v>533</v>
      </c>
      <c r="K52" s="21" t="s">
        <v>536</v>
      </c>
      <c r="L52" s="23">
        <v>32466</v>
      </c>
      <c r="M52" s="23" t="s">
        <v>673</v>
      </c>
      <c r="N52" s="23">
        <v>30000</v>
      </c>
      <c r="O52" s="23">
        <v>35000</v>
      </c>
      <c r="P52" s="23">
        <v>40000</v>
      </c>
      <c r="Q52" s="24">
        <f>Table13[[#This Row],[Monthly Gross Salary]]/Table13[[#This Row],[Mid]]</f>
        <v>0.92759999999999998</v>
      </c>
      <c r="R52" s="23" t="str">
        <f t="shared" si="0"/>
        <v>Below Mid</v>
      </c>
      <c r="S52" s="23">
        <v>3</v>
      </c>
      <c r="T52" s="25">
        <f>INDEX('Merit Matrix'!$B$4:$F$8,
       MATCH($S52,'Merit Matrix'!$A$4:$A$8,0),
       MATCH(TRIM($R52),'Merit Matrix'!$B$3:$F$3,0))</f>
        <v>0.03</v>
      </c>
      <c r="U52" s="24">
        <f>Table13[[#This Row],[Salary increase %]]*Table13[[#This Row],[Monthly Gross Salary]]</f>
        <v>973.98</v>
      </c>
      <c r="V52" s="23">
        <f>Table13[[#This Row],[Salary increase Amount]]+Table13[[#This Row],[Monthly Gross Salary]]</f>
        <v>33439.980000000003</v>
      </c>
      <c r="W52" s="75">
        <v>0.1</v>
      </c>
      <c r="X52" s="6">
        <f>Table13[[#This Row],[New Gross Salary]]*Table13[[#This Row],[STI %]]</f>
        <v>3343.9980000000005</v>
      </c>
      <c r="Y52" s="96">
        <v>1</v>
      </c>
      <c r="Z52" s="6">
        <f>Table13[[#This Row],[Target STI]]*Table13[[#This Row],[Multiplier]]</f>
        <v>3343.9980000000005</v>
      </c>
      <c r="AA52" s="26">
        <v>0.31</v>
      </c>
      <c r="AB52" s="21" t="s">
        <v>18</v>
      </c>
      <c r="AC52" s="24">
        <f>(Table13[[#This Row],[New Gross Salary]]+Table13[[#This Row],[Final STI]])*Table13[[#This Row],[Tax %]]</f>
        <v>11403.03318</v>
      </c>
      <c r="AD52" s="24">
        <f>Table13[[#This Row],[New Gross Salary]]*5%</f>
        <v>1671.9990000000003</v>
      </c>
      <c r="AE52" s="21" cm="1">
        <f t="array" ref="AE52">_xlfn.XLOOKUP(AB52,{"A","B","C"},{500,800,1200})</f>
        <v>500</v>
      </c>
      <c r="AF52" s="24">
        <f t="shared" si="1"/>
        <v>13575.03218</v>
      </c>
      <c r="AG52" s="27">
        <f>Table13[[#This Row],[New Gross Salary]]+Table13[[#This Row],[Final STI]]-Table13[[#This Row],[Total Deductions
(Tax+Pension+HP)]]</f>
        <v>23208.945820000001</v>
      </c>
    </row>
    <row r="53" spans="1:33" x14ac:dyDescent="0.2">
      <c r="A53" s="20">
        <v>1052</v>
      </c>
      <c r="B53" s="21" t="s">
        <v>64</v>
      </c>
      <c r="C53" s="21" t="s">
        <v>17</v>
      </c>
      <c r="D53" s="21" t="s">
        <v>558</v>
      </c>
      <c r="E53" s="22">
        <v>45292</v>
      </c>
      <c r="F53" s="21" t="s">
        <v>327</v>
      </c>
      <c r="G53" s="21" t="s">
        <v>524</v>
      </c>
      <c r="H53" s="21" t="s">
        <v>520</v>
      </c>
      <c r="I53" s="5" t="s">
        <v>661</v>
      </c>
      <c r="J53" s="21" t="s">
        <v>533</v>
      </c>
      <c r="K53" s="21" t="s">
        <v>536</v>
      </c>
      <c r="L53" s="23">
        <v>32466</v>
      </c>
      <c r="M53" s="23" t="s">
        <v>673</v>
      </c>
      <c r="N53" s="23">
        <v>30000</v>
      </c>
      <c r="O53" s="23">
        <v>35000</v>
      </c>
      <c r="P53" s="23">
        <v>40000</v>
      </c>
      <c r="Q53" s="24">
        <f>Table13[[#This Row],[Monthly Gross Salary]]/Table13[[#This Row],[Mid]]</f>
        <v>0.92759999999999998</v>
      </c>
      <c r="R53" s="23" t="str">
        <f t="shared" si="0"/>
        <v>Below Mid</v>
      </c>
      <c r="S53" s="23">
        <v>1</v>
      </c>
      <c r="T53" s="25">
        <f>INDEX('Merit Matrix'!$B$4:$F$8,
       MATCH($S53,'Merit Matrix'!$A$4:$A$8,0),
       MATCH(TRIM($R53),'Merit Matrix'!$B$3:$F$3,0))</f>
        <v>0</v>
      </c>
      <c r="U53" s="24">
        <f>Table13[[#This Row],[Salary increase %]]*Table13[[#This Row],[Monthly Gross Salary]]</f>
        <v>0</v>
      </c>
      <c r="V53" s="23">
        <f>Table13[[#This Row],[Salary increase Amount]]+Table13[[#This Row],[Monthly Gross Salary]]</f>
        <v>32466</v>
      </c>
      <c r="W53" s="75">
        <v>0.1</v>
      </c>
      <c r="X53" s="6">
        <f>Table13[[#This Row],[New Gross Salary]]*Table13[[#This Row],[STI %]]</f>
        <v>3246.6000000000004</v>
      </c>
      <c r="Y53" s="96">
        <v>0</v>
      </c>
      <c r="Z53" s="6">
        <f>Table13[[#This Row],[Target STI]]*Table13[[#This Row],[Multiplier]]</f>
        <v>0</v>
      </c>
      <c r="AA53" s="26">
        <v>0.28000000000000003</v>
      </c>
      <c r="AB53" s="21" t="s">
        <v>18</v>
      </c>
      <c r="AC53" s="24">
        <f>(Table13[[#This Row],[New Gross Salary]]+Table13[[#This Row],[Final STI]])*Table13[[#This Row],[Tax %]]</f>
        <v>9090.4800000000014</v>
      </c>
      <c r="AD53" s="24">
        <f>Table13[[#This Row],[New Gross Salary]]*5%</f>
        <v>1623.3000000000002</v>
      </c>
      <c r="AE53" s="21" cm="1">
        <f t="array" ref="AE53">_xlfn.XLOOKUP(AB53,{"A","B","C"},{500,800,1200})</f>
        <v>500</v>
      </c>
      <c r="AF53" s="24">
        <f t="shared" si="1"/>
        <v>11213.780000000002</v>
      </c>
      <c r="AG53" s="27">
        <f>Table13[[#This Row],[New Gross Salary]]+Table13[[#This Row],[Final STI]]-Table13[[#This Row],[Total Deductions
(Tax+Pension+HP)]]</f>
        <v>21252.219999999998</v>
      </c>
    </row>
    <row r="54" spans="1:33" x14ac:dyDescent="0.2">
      <c r="A54" s="20">
        <v>1053</v>
      </c>
      <c r="B54" s="21" t="s">
        <v>65</v>
      </c>
      <c r="C54" s="21" t="s">
        <v>8</v>
      </c>
      <c r="D54" s="21" t="s">
        <v>542</v>
      </c>
      <c r="E54" s="22">
        <v>45292</v>
      </c>
      <c r="F54" s="21" t="s">
        <v>328</v>
      </c>
      <c r="G54" s="21" t="s">
        <v>523</v>
      </c>
      <c r="H54" s="21" t="s">
        <v>520</v>
      </c>
      <c r="I54" s="5" t="s">
        <v>661</v>
      </c>
      <c r="J54" s="21" t="s">
        <v>533</v>
      </c>
      <c r="K54" s="21" t="s">
        <v>537</v>
      </c>
      <c r="L54" s="23">
        <v>45249</v>
      </c>
      <c r="M54" s="23" t="s">
        <v>673</v>
      </c>
      <c r="N54" s="23">
        <v>35000</v>
      </c>
      <c r="O54" s="23">
        <v>40000</v>
      </c>
      <c r="P54" s="23">
        <v>45000</v>
      </c>
      <c r="Q54" s="24">
        <f>Table13[[#This Row],[Monthly Gross Salary]]/Table13[[#This Row],[Mid]]</f>
        <v>1.1312249999999999</v>
      </c>
      <c r="R54" s="23" t="str">
        <f t="shared" si="0"/>
        <v>Above Mid</v>
      </c>
      <c r="S54" s="23">
        <v>3</v>
      </c>
      <c r="T54" s="25">
        <f>INDEX('Merit Matrix'!$B$4:$F$8,
       MATCH($S54,'Merit Matrix'!$A$4:$A$8,0),
       MATCH(TRIM($R54),'Merit Matrix'!$B$3:$F$3,0))</f>
        <v>0.02</v>
      </c>
      <c r="U54" s="24">
        <f>Table13[[#This Row],[Salary increase %]]*Table13[[#This Row],[Monthly Gross Salary]]</f>
        <v>904.98</v>
      </c>
      <c r="V54" s="23">
        <f>Table13[[#This Row],[Salary increase Amount]]+Table13[[#This Row],[Monthly Gross Salary]]</f>
        <v>46153.98</v>
      </c>
      <c r="W54" s="75">
        <v>0.1</v>
      </c>
      <c r="X54" s="6">
        <f>Table13[[#This Row],[New Gross Salary]]*Table13[[#This Row],[STI %]]</f>
        <v>4615.3980000000001</v>
      </c>
      <c r="Y54" s="96">
        <v>1</v>
      </c>
      <c r="Z54" s="6">
        <f>Table13[[#This Row],[Target STI]]*Table13[[#This Row],[Multiplier]]</f>
        <v>4615.3980000000001</v>
      </c>
      <c r="AA54" s="26">
        <v>0.32</v>
      </c>
      <c r="AB54" s="21" t="s">
        <v>18</v>
      </c>
      <c r="AC54" s="24">
        <f>(Table13[[#This Row],[New Gross Salary]]+Table13[[#This Row],[Final STI]])*Table13[[#This Row],[Tax %]]</f>
        <v>16246.200960000002</v>
      </c>
      <c r="AD54" s="24">
        <f>Table13[[#This Row],[New Gross Salary]]*5%</f>
        <v>2307.6990000000001</v>
      </c>
      <c r="AE54" s="21" cm="1">
        <f t="array" ref="AE54">_xlfn.XLOOKUP(AB54,{"A","B","C"},{500,800,1200})</f>
        <v>500</v>
      </c>
      <c r="AF54" s="24">
        <f t="shared" si="1"/>
        <v>19053.899960000002</v>
      </c>
      <c r="AG54" s="27">
        <f>Table13[[#This Row],[New Gross Salary]]+Table13[[#This Row],[Final STI]]-Table13[[#This Row],[Total Deductions
(Tax+Pension+HP)]]</f>
        <v>31715.478040000002</v>
      </c>
    </row>
    <row r="55" spans="1:33" x14ac:dyDescent="0.2">
      <c r="A55" s="20">
        <v>1054</v>
      </c>
      <c r="B55" s="21" t="s">
        <v>66</v>
      </c>
      <c r="C55" s="21" t="s">
        <v>8</v>
      </c>
      <c r="D55" s="21" t="s">
        <v>542</v>
      </c>
      <c r="E55" s="22">
        <v>45292</v>
      </c>
      <c r="F55" s="21" t="s">
        <v>329</v>
      </c>
      <c r="G55" s="21" t="s">
        <v>523</v>
      </c>
      <c r="H55" s="21" t="s">
        <v>520</v>
      </c>
      <c r="I55" s="5" t="s">
        <v>661</v>
      </c>
      <c r="J55" s="21" t="s">
        <v>533</v>
      </c>
      <c r="K55" s="21" t="s">
        <v>537</v>
      </c>
      <c r="L55" s="23">
        <v>45249</v>
      </c>
      <c r="M55" s="23" t="s">
        <v>673</v>
      </c>
      <c r="N55" s="23">
        <v>35000</v>
      </c>
      <c r="O55" s="23">
        <v>40000</v>
      </c>
      <c r="P55" s="23">
        <v>45000</v>
      </c>
      <c r="Q55" s="24">
        <f>Table13[[#This Row],[Monthly Gross Salary]]/Table13[[#This Row],[Mid]]</f>
        <v>1.1312249999999999</v>
      </c>
      <c r="R55" s="23" t="str">
        <f t="shared" si="0"/>
        <v>Above Mid</v>
      </c>
      <c r="S55" s="23">
        <v>3</v>
      </c>
      <c r="T55" s="25">
        <f>INDEX('Merit Matrix'!$B$4:$F$8,
       MATCH($S55,'Merit Matrix'!$A$4:$A$8,0),
       MATCH(TRIM($R55),'Merit Matrix'!$B$3:$F$3,0))</f>
        <v>0.02</v>
      </c>
      <c r="U55" s="24">
        <f>Table13[[#This Row],[Salary increase %]]*Table13[[#This Row],[Monthly Gross Salary]]</f>
        <v>904.98</v>
      </c>
      <c r="V55" s="23">
        <f>Table13[[#This Row],[Salary increase Amount]]+Table13[[#This Row],[Monthly Gross Salary]]</f>
        <v>46153.98</v>
      </c>
      <c r="W55" s="75">
        <v>0.1</v>
      </c>
      <c r="X55" s="6">
        <f>Table13[[#This Row],[New Gross Salary]]*Table13[[#This Row],[STI %]]</f>
        <v>4615.3980000000001</v>
      </c>
      <c r="Y55" s="96">
        <v>1</v>
      </c>
      <c r="Z55" s="6">
        <f>Table13[[#This Row],[Target STI]]*Table13[[#This Row],[Multiplier]]</f>
        <v>4615.3980000000001</v>
      </c>
      <c r="AA55" s="26">
        <v>0.27</v>
      </c>
      <c r="AB55" s="21" t="s">
        <v>18</v>
      </c>
      <c r="AC55" s="24">
        <f>(Table13[[#This Row],[New Gross Salary]]+Table13[[#This Row],[Final STI]])*Table13[[#This Row],[Tax %]]</f>
        <v>13707.732060000002</v>
      </c>
      <c r="AD55" s="24">
        <f>Table13[[#This Row],[New Gross Salary]]*5%</f>
        <v>2307.6990000000001</v>
      </c>
      <c r="AE55" s="21" cm="1">
        <f t="array" ref="AE55">_xlfn.XLOOKUP(AB55,{"A","B","C"},{500,800,1200})</f>
        <v>500</v>
      </c>
      <c r="AF55" s="24">
        <f t="shared" si="1"/>
        <v>16515.431060000003</v>
      </c>
      <c r="AG55" s="27">
        <f>Table13[[#This Row],[New Gross Salary]]+Table13[[#This Row],[Final STI]]-Table13[[#This Row],[Total Deductions
(Tax+Pension+HP)]]</f>
        <v>34253.946940000002</v>
      </c>
    </row>
    <row r="56" spans="1:33" x14ac:dyDescent="0.2">
      <c r="A56" s="20">
        <v>1055</v>
      </c>
      <c r="B56" s="21" t="s">
        <v>67</v>
      </c>
      <c r="C56" s="21" t="s">
        <v>14</v>
      </c>
      <c r="D56" s="21" t="s">
        <v>552</v>
      </c>
      <c r="E56" s="22">
        <v>44927</v>
      </c>
      <c r="F56" s="21" t="s">
        <v>330</v>
      </c>
      <c r="G56" s="21" t="s">
        <v>523</v>
      </c>
      <c r="H56" s="21" t="s">
        <v>520</v>
      </c>
      <c r="I56" s="5" t="s">
        <v>661</v>
      </c>
      <c r="J56" s="21" t="s">
        <v>533</v>
      </c>
      <c r="K56" s="21" t="s">
        <v>536</v>
      </c>
      <c r="L56" s="23">
        <v>32466</v>
      </c>
      <c r="M56" s="23" t="s">
        <v>673</v>
      </c>
      <c r="N56" s="23">
        <v>30000</v>
      </c>
      <c r="O56" s="23">
        <v>35000</v>
      </c>
      <c r="P56" s="23">
        <v>40000</v>
      </c>
      <c r="Q56" s="24">
        <f>Table13[[#This Row],[Monthly Gross Salary]]/Table13[[#This Row],[Mid]]</f>
        <v>0.92759999999999998</v>
      </c>
      <c r="R56" s="23" t="str">
        <f t="shared" si="0"/>
        <v>Below Mid</v>
      </c>
      <c r="S56" s="23">
        <v>1</v>
      </c>
      <c r="T56" s="25">
        <f>INDEX('Merit Matrix'!$B$4:$F$8,
       MATCH($S56,'Merit Matrix'!$A$4:$A$8,0),
       MATCH(TRIM($R56),'Merit Matrix'!$B$3:$F$3,0))</f>
        <v>0</v>
      </c>
      <c r="U56" s="24">
        <f>Table13[[#This Row],[Salary increase %]]*Table13[[#This Row],[Monthly Gross Salary]]</f>
        <v>0</v>
      </c>
      <c r="V56" s="23">
        <f>Table13[[#This Row],[Salary increase Amount]]+Table13[[#This Row],[Monthly Gross Salary]]</f>
        <v>32466</v>
      </c>
      <c r="W56" s="75">
        <v>0.1</v>
      </c>
      <c r="X56" s="6">
        <f>Table13[[#This Row],[New Gross Salary]]*Table13[[#This Row],[STI %]]</f>
        <v>3246.6000000000004</v>
      </c>
      <c r="Y56" s="96">
        <v>0</v>
      </c>
      <c r="Z56" s="6">
        <f>Table13[[#This Row],[Target STI]]*Table13[[#This Row],[Multiplier]]</f>
        <v>0</v>
      </c>
      <c r="AA56" s="26">
        <v>0.32</v>
      </c>
      <c r="AB56" s="21" t="s">
        <v>18</v>
      </c>
      <c r="AC56" s="24">
        <f>(Table13[[#This Row],[New Gross Salary]]+Table13[[#This Row],[Final STI]])*Table13[[#This Row],[Tax %]]</f>
        <v>10389.120000000001</v>
      </c>
      <c r="AD56" s="24">
        <f>Table13[[#This Row],[New Gross Salary]]*5%</f>
        <v>1623.3000000000002</v>
      </c>
      <c r="AE56" s="21" cm="1">
        <f t="array" ref="AE56">_xlfn.XLOOKUP(AB56,{"A","B","C"},{500,800,1200})</f>
        <v>500</v>
      </c>
      <c r="AF56" s="24">
        <f t="shared" si="1"/>
        <v>12512.420000000002</v>
      </c>
      <c r="AG56" s="27">
        <f>Table13[[#This Row],[New Gross Salary]]+Table13[[#This Row],[Final STI]]-Table13[[#This Row],[Total Deductions
(Tax+Pension+HP)]]</f>
        <v>19953.579999999998</v>
      </c>
    </row>
    <row r="57" spans="1:33" x14ac:dyDescent="0.2">
      <c r="A57" s="20">
        <v>1056</v>
      </c>
      <c r="B57" s="21" t="s">
        <v>68</v>
      </c>
      <c r="C57" s="21" t="s">
        <v>17</v>
      </c>
      <c r="D57" s="21" t="s">
        <v>558</v>
      </c>
      <c r="E57" s="22">
        <v>45292</v>
      </c>
      <c r="F57" s="21" t="s">
        <v>331</v>
      </c>
      <c r="G57" s="21" t="s">
        <v>524</v>
      </c>
      <c r="H57" s="21" t="s">
        <v>520</v>
      </c>
      <c r="I57" s="5" t="s">
        <v>661</v>
      </c>
      <c r="J57" s="21" t="s">
        <v>533</v>
      </c>
      <c r="K57" s="21" t="s">
        <v>536</v>
      </c>
      <c r="L57" s="23">
        <v>32466</v>
      </c>
      <c r="M57" s="23" t="s">
        <v>673</v>
      </c>
      <c r="N57" s="23">
        <v>30000</v>
      </c>
      <c r="O57" s="23">
        <v>35000</v>
      </c>
      <c r="P57" s="23">
        <v>40000</v>
      </c>
      <c r="Q57" s="24">
        <f>Table13[[#This Row],[Monthly Gross Salary]]/Table13[[#This Row],[Mid]]</f>
        <v>0.92759999999999998</v>
      </c>
      <c r="R57" s="23" t="str">
        <f t="shared" si="0"/>
        <v>Below Mid</v>
      </c>
      <c r="S57" s="23">
        <v>3</v>
      </c>
      <c r="T57" s="25">
        <f>INDEX('Merit Matrix'!$B$4:$F$8,
       MATCH($S57,'Merit Matrix'!$A$4:$A$8,0),
       MATCH(TRIM($R57),'Merit Matrix'!$B$3:$F$3,0))</f>
        <v>0.03</v>
      </c>
      <c r="U57" s="24">
        <f>Table13[[#This Row],[Salary increase %]]*Table13[[#This Row],[Monthly Gross Salary]]</f>
        <v>973.98</v>
      </c>
      <c r="V57" s="23">
        <f>Table13[[#This Row],[Salary increase Amount]]+Table13[[#This Row],[Monthly Gross Salary]]</f>
        <v>33439.980000000003</v>
      </c>
      <c r="W57" s="75">
        <v>0.1</v>
      </c>
      <c r="X57" s="6">
        <f>Table13[[#This Row],[New Gross Salary]]*Table13[[#This Row],[STI %]]</f>
        <v>3343.9980000000005</v>
      </c>
      <c r="Y57" s="96">
        <v>1</v>
      </c>
      <c r="Z57" s="6">
        <f>Table13[[#This Row],[Target STI]]*Table13[[#This Row],[Multiplier]]</f>
        <v>3343.9980000000005</v>
      </c>
      <c r="AA57" s="26">
        <v>0.28999999999999998</v>
      </c>
      <c r="AB57" s="21" t="s">
        <v>9</v>
      </c>
      <c r="AC57" s="24">
        <f>(Table13[[#This Row],[New Gross Salary]]+Table13[[#This Row],[Final STI]])*Table13[[#This Row],[Tax %]]</f>
        <v>10667.35362</v>
      </c>
      <c r="AD57" s="24">
        <f>Table13[[#This Row],[New Gross Salary]]*5%</f>
        <v>1671.9990000000003</v>
      </c>
      <c r="AE57" s="21" cm="1">
        <f t="array" ref="AE57">_xlfn.XLOOKUP(AB57,{"A","B","C"},{500,800,1200})</f>
        <v>800</v>
      </c>
      <c r="AF57" s="24">
        <f t="shared" si="1"/>
        <v>13139.35262</v>
      </c>
      <c r="AG57" s="27">
        <f>Table13[[#This Row],[New Gross Salary]]+Table13[[#This Row],[Final STI]]-Table13[[#This Row],[Total Deductions
(Tax+Pension+HP)]]</f>
        <v>23644.625380000005</v>
      </c>
    </row>
    <row r="58" spans="1:33" x14ac:dyDescent="0.2">
      <c r="A58" s="20">
        <v>1057</v>
      </c>
      <c r="B58" s="21" t="s">
        <v>69</v>
      </c>
      <c r="C58" s="21" t="s">
        <v>42</v>
      </c>
      <c r="D58" s="21" t="s">
        <v>555</v>
      </c>
      <c r="E58" s="22">
        <v>44927</v>
      </c>
      <c r="F58" s="21" t="s">
        <v>332</v>
      </c>
      <c r="G58" s="21" t="s">
        <v>524</v>
      </c>
      <c r="H58" s="21" t="s">
        <v>520</v>
      </c>
      <c r="I58" s="5" t="s">
        <v>661</v>
      </c>
      <c r="J58" s="21" t="s">
        <v>533</v>
      </c>
      <c r="K58" s="21" t="s">
        <v>536</v>
      </c>
      <c r="L58" s="23">
        <v>32466</v>
      </c>
      <c r="M58" s="23" t="s">
        <v>673</v>
      </c>
      <c r="N58" s="23">
        <v>30000</v>
      </c>
      <c r="O58" s="23">
        <v>35000</v>
      </c>
      <c r="P58" s="23">
        <v>40000</v>
      </c>
      <c r="Q58" s="24">
        <f>Table13[[#This Row],[Monthly Gross Salary]]/Table13[[#This Row],[Mid]]</f>
        <v>0.92759999999999998</v>
      </c>
      <c r="R58" s="23" t="str">
        <f t="shared" si="0"/>
        <v>Below Mid</v>
      </c>
      <c r="S58" s="23">
        <v>3</v>
      </c>
      <c r="T58" s="25">
        <f>INDEX('Merit Matrix'!$B$4:$F$8,
       MATCH($S58,'Merit Matrix'!$A$4:$A$8,0),
       MATCH(TRIM($R58),'Merit Matrix'!$B$3:$F$3,0))</f>
        <v>0.03</v>
      </c>
      <c r="U58" s="24">
        <f>Table13[[#This Row],[Salary increase %]]*Table13[[#This Row],[Monthly Gross Salary]]</f>
        <v>973.98</v>
      </c>
      <c r="V58" s="23">
        <f>Table13[[#This Row],[Salary increase Amount]]+Table13[[#This Row],[Monthly Gross Salary]]</f>
        <v>33439.980000000003</v>
      </c>
      <c r="W58" s="75">
        <v>0.1</v>
      </c>
      <c r="X58" s="6">
        <f>Table13[[#This Row],[New Gross Salary]]*Table13[[#This Row],[STI %]]</f>
        <v>3343.9980000000005</v>
      </c>
      <c r="Y58" s="96">
        <v>1</v>
      </c>
      <c r="Z58" s="6">
        <f>Table13[[#This Row],[Target STI]]*Table13[[#This Row],[Multiplier]]</f>
        <v>3343.9980000000005</v>
      </c>
      <c r="AA58" s="26">
        <v>0.31</v>
      </c>
      <c r="AB58" s="21" t="s">
        <v>9</v>
      </c>
      <c r="AC58" s="24">
        <f>(Table13[[#This Row],[New Gross Salary]]+Table13[[#This Row],[Final STI]])*Table13[[#This Row],[Tax %]]</f>
        <v>11403.03318</v>
      </c>
      <c r="AD58" s="24">
        <f>Table13[[#This Row],[New Gross Salary]]*5%</f>
        <v>1671.9990000000003</v>
      </c>
      <c r="AE58" s="21" cm="1">
        <f t="array" ref="AE58">_xlfn.XLOOKUP(AB58,{"A","B","C"},{500,800,1200})</f>
        <v>800</v>
      </c>
      <c r="AF58" s="24">
        <f t="shared" si="1"/>
        <v>13875.03218</v>
      </c>
      <c r="AG58" s="27">
        <f>Table13[[#This Row],[New Gross Salary]]+Table13[[#This Row],[Final STI]]-Table13[[#This Row],[Total Deductions
(Tax+Pension+HP)]]</f>
        <v>22908.945820000001</v>
      </c>
    </row>
    <row r="59" spans="1:33" x14ac:dyDescent="0.2">
      <c r="A59" s="20">
        <v>1058</v>
      </c>
      <c r="B59" s="21" t="s">
        <v>70</v>
      </c>
      <c r="C59" s="21" t="s">
        <v>14</v>
      </c>
      <c r="D59" s="21" t="s">
        <v>552</v>
      </c>
      <c r="E59" s="22">
        <v>44927</v>
      </c>
      <c r="F59" s="21" t="s">
        <v>333</v>
      </c>
      <c r="G59" s="21" t="s">
        <v>523</v>
      </c>
      <c r="H59" s="21" t="s">
        <v>520</v>
      </c>
      <c r="I59" s="5" t="s">
        <v>661</v>
      </c>
      <c r="J59" s="21" t="s">
        <v>533</v>
      </c>
      <c r="K59" s="21" t="s">
        <v>536</v>
      </c>
      <c r="L59" s="23">
        <v>32466</v>
      </c>
      <c r="M59" s="23" t="s">
        <v>673</v>
      </c>
      <c r="N59" s="23">
        <v>30000</v>
      </c>
      <c r="O59" s="23">
        <v>35000</v>
      </c>
      <c r="P59" s="23">
        <v>40000</v>
      </c>
      <c r="Q59" s="24">
        <f>Table13[[#This Row],[Monthly Gross Salary]]/Table13[[#This Row],[Mid]]</f>
        <v>0.92759999999999998</v>
      </c>
      <c r="R59" s="23" t="str">
        <f t="shared" si="0"/>
        <v>Below Mid</v>
      </c>
      <c r="S59" s="23">
        <v>3</v>
      </c>
      <c r="T59" s="25">
        <f>INDEX('Merit Matrix'!$B$4:$F$8,
       MATCH($S59,'Merit Matrix'!$A$4:$A$8,0),
       MATCH(TRIM($R59),'Merit Matrix'!$B$3:$F$3,0))</f>
        <v>0.03</v>
      </c>
      <c r="U59" s="24">
        <f>Table13[[#This Row],[Salary increase %]]*Table13[[#This Row],[Monthly Gross Salary]]</f>
        <v>973.98</v>
      </c>
      <c r="V59" s="23">
        <f>Table13[[#This Row],[Salary increase Amount]]+Table13[[#This Row],[Monthly Gross Salary]]</f>
        <v>33439.980000000003</v>
      </c>
      <c r="W59" s="75">
        <v>0.1</v>
      </c>
      <c r="X59" s="6">
        <f>Table13[[#This Row],[New Gross Salary]]*Table13[[#This Row],[STI %]]</f>
        <v>3343.9980000000005</v>
      </c>
      <c r="Y59" s="96">
        <v>1</v>
      </c>
      <c r="Z59" s="6">
        <f>Table13[[#This Row],[Target STI]]*Table13[[#This Row],[Multiplier]]</f>
        <v>3343.9980000000005</v>
      </c>
      <c r="AA59" s="26">
        <v>0.27</v>
      </c>
      <c r="AB59" s="21" t="s">
        <v>6</v>
      </c>
      <c r="AC59" s="24">
        <f>(Table13[[#This Row],[New Gross Salary]]+Table13[[#This Row],[Final STI]])*Table13[[#This Row],[Tax %]]</f>
        <v>9931.6740600000012</v>
      </c>
      <c r="AD59" s="24">
        <f>Table13[[#This Row],[New Gross Salary]]*5%</f>
        <v>1671.9990000000003</v>
      </c>
      <c r="AE59" s="21" cm="1">
        <f t="array" ref="AE59">_xlfn.XLOOKUP(AB59,{"A","B","C"},{500,800,1200})</f>
        <v>1200</v>
      </c>
      <c r="AF59" s="24">
        <f t="shared" si="1"/>
        <v>12803.673060000001</v>
      </c>
      <c r="AG59" s="27">
        <f>Table13[[#This Row],[New Gross Salary]]+Table13[[#This Row],[Final STI]]-Table13[[#This Row],[Total Deductions
(Tax+Pension+HP)]]</f>
        <v>23980.304940000002</v>
      </c>
    </row>
    <row r="60" spans="1:33" x14ac:dyDescent="0.2">
      <c r="A60" s="20">
        <v>1059</v>
      </c>
      <c r="B60" s="21" t="s">
        <v>71</v>
      </c>
      <c r="C60" s="21" t="s">
        <v>11</v>
      </c>
      <c r="D60" s="21" t="s">
        <v>528</v>
      </c>
      <c r="E60" s="22">
        <v>45292</v>
      </c>
      <c r="F60" s="21" t="s">
        <v>334</v>
      </c>
      <c r="G60" s="21" t="s">
        <v>523</v>
      </c>
      <c r="H60" s="21" t="s">
        <v>520</v>
      </c>
      <c r="I60" s="5" t="s">
        <v>661</v>
      </c>
      <c r="J60" s="21" t="s">
        <v>533</v>
      </c>
      <c r="K60" s="21" t="s">
        <v>536</v>
      </c>
      <c r="L60" s="23">
        <v>32466</v>
      </c>
      <c r="M60" s="23" t="s">
        <v>673</v>
      </c>
      <c r="N60" s="23">
        <v>30000</v>
      </c>
      <c r="O60" s="23">
        <v>35000</v>
      </c>
      <c r="P60" s="23">
        <v>40000</v>
      </c>
      <c r="Q60" s="24">
        <f>Table13[[#This Row],[Monthly Gross Salary]]/Table13[[#This Row],[Mid]]</f>
        <v>0.92759999999999998</v>
      </c>
      <c r="R60" s="23" t="str">
        <f t="shared" si="0"/>
        <v>Below Mid</v>
      </c>
      <c r="S60" s="23">
        <v>3</v>
      </c>
      <c r="T60" s="25">
        <f>INDEX('Merit Matrix'!$B$4:$F$8,
       MATCH($S60,'Merit Matrix'!$A$4:$A$8,0),
       MATCH(TRIM($R60),'Merit Matrix'!$B$3:$F$3,0))</f>
        <v>0.03</v>
      </c>
      <c r="U60" s="24">
        <f>Table13[[#This Row],[Salary increase %]]*Table13[[#This Row],[Monthly Gross Salary]]</f>
        <v>973.98</v>
      </c>
      <c r="V60" s="23">
        <f>Table13[[#This Row],[Salary increase Amount]]+Table13[[#This Row],[Monthly Gross Salary]]</f>
        <v>33439.980000000003</v>
      </c>
      <c r="W60" s="75">
        <v>0.1</v>
      </c>
      <c r="X60" s="6">
        <f>Table13[[#This Row],[New Gross Salary]]*Table13[[#This Row],[STI %]]</f>
        <v>3343.9980000000005</v>
      </c>
      <c r="Y60" s="96">
        <v>1</v>
      </c>
      <c r="Z60" s="6">
        <f>Table13[[#This Row],[Target STI]]*Table13[[#This Row],[Multiplier]]</f>
        <v>3343.9980000000005</v>
      </c>
      <c r="AA60" s="26">
        <v>0.27</v>
      </c>
      <c r="AB60" s="21" t="s">
        <v>6</v>
      </c>
      <c r="AC60" s="24">
        <f>(Table13[[#This Row],[New Gross Salary]]+Table13[[#This Row],[Final STI]])*Table13[[#This Row],[Tax %]]</f>
        <v>9931.6740600000012</v>
      </c>
      <c r="AD60" s="24">
        <f>Table13[[#This Row],[New Gross Salary]]*5%</f>
        <v>1671.9990000000003</v>
      </c>
      <c r="AE60" s="21" cm="1">
        <f t="array" ref="AE60">_xlfn.XLOOKUP(AB60,{"A","B","C"},{500,800,1200})</f>
        <v>1200</v>
      </c>
      <c r="AF60" s="24">
        <f t="shared" si="1"/>
        <v>12803.673060000001</v>
      </c>
      <c r="AG60" s="27">
        <f>Table13[[#This Row],[New Gross Salary]]+Table13[[#This Row],[Final STI]]-Table13[[#This Row],[Total Deductions
(Tax+Pension+HP)]]</f>
        <v>23980.304940000002</v>
      </c>
    </row>
    <row r="61" spans="1:33" x14ac:dyDescent="0.2">
      <c r="A61" s="20">
        <v>1060</v>
      </c>
      <c r="B61" s="21" t="s">
        <v>72</v>
      </c>
      <c r="C61" s="21" t="s">
        <v>11</v>
      </c>
      <c r="D61" s="21" t="s">
        <v>528</v>
      </c>
      <c r="E61" s="22">
        <v>45292</v>
      </c>
      <c r="F61" s="21" t="s">
        <v>335</v>
      </c>
      <c r="G61" s="21" t="s">
        <v>523</v>
      </c>
      <c r="H61" s="21" t="s">
        <v>520</v>
      </c>
      <c r="I61" s="5" t="s">
        <v>661</v>
      </c>
      <c r="J61" s="21" t="s">
        <v>533</v>
      </c>
      <c r="K61" s="21" t="s">
        <v>536</v>
      </c>
      <c r="L61" s="23">
        <v>36800</v>
      </c>
      <c r="M61" s="23" t="s">
        <v>673</v>
      </c>
      <c r="N61" s="23">
        <v>30000</v>
      </c>
      <c r="O61" s="23">
        <v>35000</v>
      </c>
      <c r="P61" s="23">
        <v>40000</v>
      </c>
      <c r="Q61" s="24">
        <f>Table13[[#This Row],[Monthly Gross Salary]]/Table13[[#This Row],[Mid]]</f>
        <v>1.0514285714285714</v>
      </c>
      <c r="R61" s="23" t="str">
        <f t="shared" si="0"/>
        <v>Above Mid</v>
      </c>
      <c r="S61" s="23">
        <v>3</v>
      </c>
      <c r="T61" s="25">
        <f>INDEX('Merit Matrix'!$B$4:$F$8,
       MATCH($S61,'Merit Matrix'!$A$4:$A$8,0),
       MATCH(TRIM($R61),'Merit Matrix'!$B$3:$F$3,0))</f>
        <v>0.02</v>
      </c>
      <c r="U61" s="24">
        <f>Table13[[#This Row],[Salary increase %]]*Table13[[#This Row],[Monthly Gross Salary]]</f>
        <v>736</v>
      </c>
      <c r="V61" s="23">
        <f>Table13[[#This Row],[Salary increase Amount]]+Table13[[#This Row],[Monthly Gross Salary]]</f>
        <v>37536</v>
      </c>
      <c r="W61" s="75">
        <v>0.1</v>
      </c>
      <c r="X61" s="6">
        <f>Table13[[#This Row],[New Gross Salary]]*Table13[[#This Row],[STI %]]</f>
        <v>3753.6000000000004</v>
      </c>
      <c r="Y61" s="96">
        <v>1</v>
      </c>
      <c r="Z61" s="6">
        <f>Table13[[#This Row],[Target STI]]*Table13[[#This Row],[Multiplier]]</f>
        <v>3753.6000000000004</v>
      </c>
      <c r="AA61" s="26">
        <v>0.31</v>
      </c>
      <c r="AB61" s="21" t="s">
        <v>18</v>
      </c>
      <c r="AC61" s="24">
        <f>(Table13[[#This Row],[New Gross Salary]]+Table13[[#This Row],[Final STI]])*Table13[[#This Row],[Tax %]]</f>
        <v>12799.776</v>
      </c>
      <c r="AD61" s="24">
        <f>Table13[[#This Row],[New Gross Salary]]*5%</f>
        <v>1876.8000000000002</v>
      </c>
      <c r="AE61" s="21" cm="1">
        <f t="array" ref="AE61">_xlfn.XLOOKUP(AB61,{"A","B","C"},{500,800,1200})</f>
        <v>500</v>
      </c>
      <c r="AF61" s="24">
        <f t="shared" si="1"/>
        <v>15176.576000000001</v>
      </c>
      <c r="AG61" s="27">
        <f>Table13[[#This Row],[New Gross Salary]]+Table13[[#This Row],[Final STI]]-Table13[[#This Row],[Total Deductions
(Tax+Pension+HP)]]</f>
        <v>26113.023999999998</v>
      </c>
    </row>
    <row r="62" spans="1:33" x14ac:dyDescent="0.2">
      <c r="A62" s="20">
        <v>1061</v>
      </c>
      <c r="B62" s="21" t="s">
        <v>73</v>
      </c>
      <c r="C62" s="21" t="s">
        <v>5</v>
      </c>
      <c r="D62" s="21" t="s">
        <v>548</v>
      </c>
      <c r="E62" s="22">
        <v>44927</v>
      </c>
      <c r="F62" s="21" t="s">
        <v>336</v>
      </c>
      <c r="G62" s="21" t="s">
        <v>523</v>
      </c>
      <c r="H62" s="21" t="s">
        <v>520</v>
      </c>
      <c r="I62" s="5" t="s">
        <v>661</v>
      </c>
      <c r="J62" s="21" t="s">
        <v>533</v>
      </c>
      <c r="K62" s="21" t="s">
        <v>536</v>
      </c>
      <c r="L62" s="23">
        <v>36800</v>
      </c>
      <c r="M62" s="23" t="s">
        <v>673</v>
      </c>
      <c r="N62" s="23">
        <v>30000</v>
      </c>
      <c r="O62" s="23">
        <v>35000</v>
      </c>
      <c r="P62" s="23">
        <v>40000</v>
      </c>
      <c r="Q62" s="24">
        <f>Table13[[#This Row],[Monthly Gross Salary]]/Table13[[#This Row],[Mid]]</f>
        <v>1.0514285714285714</v>
      </c>
      <c r="R62" s="23" t="str">
        <f t="shared" si="0"/>
        <v>Above Mid</v>
      </c>
      <c r="S62" s="23">
        <v>3</v>
      </c>
      <c r="T62" s="25">
        <f>INDEX('Merit Matrix'!$B$4:$F$8,
       MATCH($S62,'Merit Matrix'!$A$4:$A$8,0),
       MATCH(TRIM($R62),'Merit Matrix'!$B$3:$F$3,0))</f>
        <v>0.02</v>
      </c>
      <c r="U62" s="24">
        <f>Table13[[#This Row],[Salary increase %]]*Table13[[#This Row],[Monthly Gross Salary]]</f>
        <v>736</v>
      </c>
      <c r="V62" s="23">
        <f>Table13[[#This Row],[Salary increase Amount]]+Table13[[#This Row],[Monthly Gross Salary]]</f>
        <v>37536</v>
      </c>
      <c r="W62" s="75">
        <v>0.1</v>
      </c>
      <c r="X62" s="6">
        <f>Table13[[#This Row],[New Gross Salary]]*Table13[[#This Row],[STI %]]</f>
        <v>3753.6000000000004</v>
      </c>
      <c r="Y62" s="96">
        <v>1</v>
      </c>
      <c r="Z62" s="6">
        <f>Table13[[#This Row],[Target STI]]*Table13[[#This Row],[Multiplier]]</f>
        <v>3753.6000000000004</v>
      </c>
      <c r="AA62" s="26">
        <v>0.31</v>
      </c>
      <c r="AB62" s="21" t="s">
        <v>9</v>
      </c>
      <c r="AC62" s="24">
        <f>(Table13[[#This Row],[New Gross Salary]]+Table13[[#This Row],[Final STI]])*Table13[[#This Row],[Tax %]]</f>
        <v>12799.776</v>
      </c>
      <c r="AD62" s="24">
        <f>Table13[[#This Row],[New Gross Salary]]*5%</f>
        <v>1876.8000000000002</v>
      </c>
      <c r="AE62" s="21" cm="1">
        <f t="array" ref="AE62">_xlfn.XLOOKUP(AB62,{"A","B","C"},{500,800,1200})</f>
        <v>800</v>
      </c>
      <c r="AF62" s="24">
        <f t="shared" si="1"/>
        <v>15476.576000000001</v>
      </c>
      <c r="AG62" s="27">
        <f>Table13[[#This Row],[New Gross Salary]]+Table13[[#This Row],[Final STI]]-Table13[[#This Row],[Total Deductions
(Tax+Pension+HP)]]</f>
        <v>25813.023999999998</v>
      </c>
    </row>
    <row r="63" spans="1:33" x14ac:dyDescent="0.2">
      <c r="A63" s="20">
        <v>1062</v>
      </c>
      <c r="B63" s="21" t="s">
        <v>74</v>
      </c>
      <c r="C63" s="21" t="s">
        <v>17</v>
      </c>
      <c r="D63" s="21" t="s">
        <v>558</v>
      </c>
      <c r="E63" s="22">
        <v>45292</v>
      </c>
      <c r="F63" s="21" t="s">
        <v>337</v>
      </c>
      <c r="G63" s="21" t="s">
        <v>524</v>
      </c>
      <c r="H63" s="21" t="s">
        <v>520</v>
      </c>
      <c r="I63" s="5" t="s">
        <v>661</v>
      </c>
      <c r="J63" s="21" t="s">
        <v>533</v>
      </c>
      <c r="K63" s="21" t="s">
        <v>536</v>
      </c>
      <c r="L63" s="23">
        <v>36800</v>
      </c>
      <c r="M63" s="23" t="s">
        <v>673</v>
      </c>
      <c r="N63" s="23">
        <v>30000</v>
      </c>
      <c r="O63" s="23">
        <v>35000</v>
      </c>
      <c r="P63" s="23">
        <v>40000</v>
      </c>
      <c r="Q63" s="24">
        <f>Table13[[#This Row],[Monthly Gross Salary]]/Table13[[#This Row],[Mid]]</f>
        <v>1.0514285714285714</v>
      </c>
      <c r="R63" s="23" t="str">
        <f t="shared" si="0"/>
        <v>Above Mid</v>
      </c>
      <c r="S63" s="23">
        <v>3</v>
      </c>
      <c r="T63" s="25">
        <f>INDEX('Merit Matrix'!$B$4:$F$8,
       MATCH($S63,'Merit Matrix'!$A$4:$A$8,0),
       MATCH(TRIM($R63),'Merit Matrix'!$B$3:$F$3,0))</f>
        <v>0.02</v>
      </c>
      <c r="U63" s="24">
        <f>Table13[[#This Row],[Salary increase %]]*Table13[[#This Row],[Monthly Gross Salary]]</f>
        <v>736</v>
      </c>
      <c r="V63" s="23">
        <f>Table13[[#This Row],[Salary increase Amount]]+Table13[[#This Row],[Monthly Gross Salary]]</f>
        <v>37536</v>
      </c>
      <c r="W63" s="75">
        <v>0.1</v>
      </c>
      <c r="X63" s="6">
        <f>Table13[[#This Row],[New Gross Salary]]*Table13[[#This Row],[STI %]]</f>
        <v>3753.6000000000004</v>
      </c>
      <c r="Y63" s="96">
        <v>1</v>
      </c>
      <c r="Z63" s="6">
        <f>Table13[[#This Row],[Target STI]]*Table13[[#This Row],[Multiplier]]</f>
        <v>3753.6000000000004</v>
      </c>
      <c r="AA63" s="26">
        <v>0.3</v>
      </c>
      <c r="AB63" s="21" t="s">
        <v>18</v>
      </c>
      <c r="AC63" s="24">
        <f>(Table13[[#This Row],[New Gross Salary]]+Table13[[#This Row],[Final STI]])*Table13[[#This Row],[Tax %]]</f>
        <v>12386.88</v>
      </c>
      <c r="AD63" s="24">
        <f>Table13[[#This Row],[New Gross Salary]]*5%</f>
        <v>1876.8000000000002</v>
      </c>
      <c r="AE63" s="21" cm="1">
        <f t="array" ref="AE63">_xlfn.XLOOKUP(AB63,{"A","B","C"},{500,800,1200})</f>
        <v>500</v>
      </c>
      <c r="AF63" s="24">
        <f t="shared" si="1"/>
        <v>14763.68</v>
      </c>
      <c r="AG63" s="27">
        <f>Table13[[#This Row],[New Gross Salary]]+Table13[[#This Row],[Final STI]]-Table13[[#This Row],[Total Deductions
(Tax+Pension+HP)]]</f>
        <v>26525.919999999998</v>
      </c>
    </row>
    <row r="64" spans="1:33" x14ac:dyDescent="0.2">
      <c r="A64" s="20">
        <v>1063</v>
      </c>
      <c r="B64" s="21" t="s">
        <v>75</v>
      </c>
      <c r="C64" s="21" t="s">
        <v>42</v>
      </c>
      <c r="D64" s="21" t="s">
        <v>555</v>
      </c>
      <c r="E64" s="22">
        <v>44927</v>
      </c>
      <c r="F64" s="21" t="s">
        <v>338</v>
      </c>
      <c r="G64" s="21" t="s">
        <v>524</v>
      </c>
      <c r="H64" s="21" t="s">
        <v>520</v>
      </c>
      <c r="I64" s="5" t="s">
        <v>661</v>
      </c>
      <c r="J64" s="21" t="s">
        <v>533</v>
      </c>
      <c r="K64" s="21" t="s">
        <v>536</v>
      </c>
      <c r="L64" s="23">
        <v>36800</v>
      </c>
      <c r="M64" s="23" t="s">
        <v>673</v>
      </c>
      <c r="N64" s="23">
        <v>30000</v>
      </c>
      <c r="O64" s="23">
        <v>35000</v>
      </c>
      <c r="P64" s="23">
        <v>40000</v>
      </c>
      <c r="Q64" s="24">
        <f>Table13[[#This Row],[Monthly Gross Salary]]/Table13[[#This Row],[Mid]]</f>
        <v>1.0514285714285714</v>
      </c>
      <c r="R64" s="23" t="str">
        <f t="shared" si="0"/>
        <v>Above Mid</v>
      </c>
      <c r="S64" s="23">
        <v>3</v>
      </c>
      <c r="T64" s="25">
        <f>INDEX('Merit Matrix'!$B$4:$F$8,
       MATCH($S64,'Merit Matrix'!$A$4:$A$8,0),
       MATCH(TRIM($R64),'Merit Matrix'!$B$3:$F$3,0))</f>
        <v>0.02</v>
      </c>
      <c r="U64" s="24">
        <f>Table13[[#This Row],[Salary increase %]]*Table13[[#This Row],[Monthly Gross Salary]]</f>
        <v>736</v>
      </c>
      <c r="V64" s="23">
        <f>Table13[[#This Row],[Salary increase Amount]]+Table13[[#This Row],[Monthly Gross Salary]]</f>
        <v>37536</v>
      </c>
      <c r="W64" s="75">
        <v>0.1</v>
      </c>
      <c r="X64" s="6">
        <f>Table13[[#This Row],[New Gross Salary]]*Table13[[#This Row],[STI %]]</f>
        <v>3753.6000000000004</v>
      </c>
      <c r="Y64" s="96">
        <v>1</v>
      </c>
      <c r="Z64" s="6">
        <f>Table13[[#This Row],[Target STI]]*Table13[[#This Row],[Multiplier]]</f>
        <v>3753.6000000000004</v>
      </c>
      <c r="AA64" s="26">
        <v>0.32</v>
      </c>
      <c r="AB64" s="21" t="s">
        <v>6</v>
      </c>
      <c r="AC64" s="24">
        <f>(Table13[[#This Row],[New Gross Salary]]+Table13[[#This Row],[Final STI]])*Table13[[#This Row],[Tax %]]</f>
        <v>13212.672</v>
      </c>
      <c r="AD64" s="24">
        <f>Table13[[#This Row],[New Gross Salary]]*5%</f>
        <v>1876.8000000000002</v>
      </c>
      <c r="AE64" s="21" cm="1">
        <f t="array" ref="AE64">_xlfn.XLOOKUP(AB64,{"A","B","C"},{500,800,1200})</f>
        <v>1200</v>
      </c>
      <c r="AF64" s="24">
        <f t="shared" si="1"/>
        <v>16289.472000000002</v>
      </c>
      <c r="AG64" s="27">
        <f>Table13[[#This Row],[New Gross Salary]]+Table13[[#This Row],[Final STI]]-Table13[[#This Row],[Total Deductions
(Tax+Pension+HP)]]</f>
        <v>25000.127999999997</v>
      </c>
    </row>
    <row r="65" spans="1:33" x14ac:dyDescent="0.2">
      <c r="A65" s="20">
        <v>1064</v>
      </c>
      <c r="B65" s="21" t="s">
        <v>76</v>
      </c>
      <c r="C65" s="21" t="s">
        <v>14</v>
      </c>
      <c r="D65" s="21" t="s">
        <v>628</v>
      </c>
      <c r="E65" s="22">
        <v>45292</v>
      </c>
      <c r="F65" s="21" t="s">
        <v>339</v>
      </c>
      <c r="G65" s="21" t="s">
        <v>523</v>
      </c>
      <c r="H65" s="21" t="s">
        <v>520</v>
      </c>
      <c r="I65" s="5" t="s">
        <v>661</v>
      </c>
      <c r="J65" s="21" t="s">
        <v>535</v>
      </c>
      <c r="K65" s="21" t="s">
        <v>538</v>
      </c>
      <c r="L65" s="23">
        <v>45304</v>
      </c>
      <c r="M65" s="23" t="s">
        <v>673</v>
      </c>
      <c r="N65" s="23">
        <v>38000</v>
      </c>
      <c r="O65" s="23">
        <v>50000</v>
      </c>
      <c r="P65" s="23">
        <v>56000</v>
      </c>
      <c r="Q65" s="24">
        <f>Table13[[#This Row],[Monthly Gross Salary]]/Table13[[#This Row],[Mid]]</f>
        <v>0.90608</v>
      </c>
      <c r="R65" s="23" t="str">
        <f t="shared" si="0"/>
        <v>Below Mid</v>
      </c>
      <c r="S65" s="23">
        <v>3</v>
      </c>
      <c r="T65" s="25">
        <f>INDEX('Merit Matrix'!$B$4:$F$8,
       MATCH($S65,'Merit Matrix'!$A$4:$A$8,0),
       MATCH(TRIM($R65),'Merit Matrix'!$B$3:$F$3,0))</f>
        <v>0.03</v>
      </c>
      <c r="U65" s="24">
        <f>Table13[[#This Row],[Salary increase %]]*Table13[[#This Row],[Monthly Gross Salary]]</f>
        <v>1359.12</v>
      </c>
      <c r="V65" s="23">
        <f>Table13[[#This Row],[Salary increase Amount]]+Table13[[#This Row],[Monthly Gross Salary]]</f>
        <v>46663.12</v>
      </c>
      <c r="W65" s="75">
        <v>0.15</v>
      </c>
      <c r="X65" s="6">
        <f>Table13[[#This Row],[New Gross Salary]]*Table13[[#This Row],[STI %]]</f>
        <v>6999.4679999999998</v>
      </c>
      <c r="Y65" s="96">
        <v>1</v>
      </c>
      <c r="Z65" s="6">
        <f>Table13[[#This Row],[Target STI]]*Table13[[#This Row],[Multiplier]]</f>
        <v>6999.4679999999998</v>
      </c>
      <c r="AA65" s="26">
        <v>0.31</v>
      </c>
      <c r="AB65" s="21" t="s">
        <v>6</v>
      </c>
      <c r="AC65" s="24">
        <f>(Table13[[#This Row],[New Gross Salary]]+Table13[[#This Row],[Final STI]])*Table13[[#This Row],[Tax %]]</f>
        <v>16635.402280000002</v>
      </c>
      <c r="AD65" s="24">
        <f>Table13[[#This Row],[New Gross Salary]]*5%</f>
        <v>2333.1560000000004</v>
      </c>
      <c r="AE65" s="21" cm="1">
        <f t="array" ref="AE65">_xlfn.XLOOKUP(AB65,{"A","B","C"},{500,800,1200})</f>
        <v>1200</v>
      </c>
      <c r="AF65" s="24">
        <f t="shared" si="1"/>
        <v>20168.558280000001</v>
      </c>
      <c r="AG65" s="27">
        <f>Table13[[#This Row],[New Gross Salary]]+Table13[[#This Row],[Final STI]]-Table13[[#This Row],[Total Deductions
(Tax+Pension+HP)]]</f>
        <v>33494.029720000006</v>
      </c>
    </row>
    <row r="66" spans="1:33" x14ac:dyDescent="0.2">
      <c r="A66" s="20">
        <v>1065</v>
      </c>
      <c r="B66" s="21" t="s">
        <v>77</v>
      </c>
      <c r="C66" s="21" t="s">
        <v>17</v>
      </c>
      <c r="D66" s="21" t="s">
        <v>558</v>
      </c>
      <c r="E66" s="22">
        <v>45292</v>
      </c>
      <c r="F66" s="21" t="s">
        <v>340</v>
      </c>
      <c r="G66" s="21" t="s">
        <v>524</v>
      </c>
      <c r="H66" s="21" t="s">
        <v>520</v>
      </c>
      <c r="I66" s="5" t="s">
        <v>661</v>
      </c>
      <c r="J66" s="21" t="s">
        <v>533</v>
      </c>
      <c r="K66" s="21" t="s">
        <v>536</v>
      </c>
      <c r="L66" s="23">
        <v>36800</v>
      </c>
      <c r="M66" s="23" t="s">
        <v>673</v>
      </c>
      <c r="N66" s="23">
        <v>30000</v>
      </c>
      <c r="O66" s="23">
        <v>35000</v>
      </c>
      <c r="P66" s="23">
        <v>40000</v>
      </c>
      <c r="Q66" s="24">
        <f>Table13[[#This Row],[Monthly Gross Salary]]/Table13[[#This Row],[Mid]]</f>
        <v>1.0514285714285714</v>
      </c>
      <c r="R66" s="23" t="str">
        <f t="shared" si="0"/>
        <v>Above Mid</v>
      </c>
      <c r="S66" s="23">
        <v>3</v>
      </c>
      <c r="T66" s="25">
        <f>INDEX('Merit Matrix'!$B$4:$F$8,
       MATCH($S66,'Merit Matrix'!$A$4:$A$8,0),
       MATCH(TRIM($R66),'Merit Matrix'!$B$3:$F$3,0))</f>
        <v>0.02</v>
      </c>
      <c r="U66" s="24">
        <f>Table13[[#This Row],[Salary increase %]]*Table13[[#This Row],[Monthly Gross Salary]]</f>
        <v>736</v>
      </c>
      <c r="V66" s="23">
        <f>Table13[[#This Row],[Salary increase Amount]]+Table13[[#This Row],[Monthly Gross Salary]]</f>
        <v>37536</v>
      </c>
      <c r="W66" s="75">
        <v>0.1</v>
      </c>
      <c r="X66" s="6">
        <f>Table13[[#This Row],[New Gross Salary]]*Table13[[#This Row],[STI %]]</f>
        <v>3753.6000000000004</v>
      </c>
      <c r="Y66" s="96">
        <v>1</v>
      </c>
      <c r="Z66" s="6">
        <f>Table13[[#This Row],[Target STI]]*Table13[[#This Row],[Multiplier]]</f>
        <v>3753.6000000000004</v>
      </c>
      <c r="AA66" s="26">
        <v>0.28000000000000003</v>
      </c>
      <c r="AB66" s="21" t="s">
        <v>9</v>
      </c>
      <c r="AC66" s="24">
        <f>(Table13[[#This Row],[New Gross Salary]]+Table13[[#This Row],[Final STI]])*Table13[[#This Row],[Tax %]]</f>
        <v>11561.088000000002</v>
      </c>
      <c r="AD66" s="24">
        <f>Table13[[#This Row],[New Gross Salary]]*5%</f>
        <v>1876.8000000000002</v>
      </c>
      <c r="AE66" s="21" cm="1">
        <f t="array" ref="AE66">_xlfn.XLOOKUP(AB66,{"A","B","C"},{500,800,1200})</f>
        <v>800</v>
      </c>
      <c r="AF66" s="24">
        <f t="shared" si="1"/>
        <v>14237.888000000003</v>
      </c>
      <c r="AG66" s="27">
        <f>Table13[[#This Row],[New Gross Salary]]+Table13[[#This Row],[Final STI]]-Table13[[#This Row],[Total Deductions
(Tax+Pension+HP)]]</f>
        <v>27051.711999999996</v>
      </c>
    </row>
    <row r="67" spans="1:33" x14ac:dyDescent="0.2">
      <c r="A67" s="20">
        <v>1066</v>
      </c>
      <c r="B67" s="21" t="s">
        <v>78</v>
      </c>
      <c r="C67" s="21" t="s">
        <v>42</v>
      </c>
      <c r="D67" s="21" t="s">
        <v>555</v>
      </c>
      <c r="E67" s="22">
        <v>44927</v>
      </c>
      <c r="F67" s="21" t="s">
        <v>341</v>
      </c>
      <c r="G67" s="21" t="s">
        <v>524</v>
      </c>
      <c r="H67" s="21" t="s">
        <v>520</v>
      </c>
      <c r="I67" s="5" t="s">
        <v>661</v>
      </c>
      <c r="J67" s="21" t="s">
        <v>533</v>
      </c>
      <c r="K67" s="21" t="s">
        <v>536</v>
      </c>
      <c r="L67" s="23">
        <v>36800</v>
      </c>
      <c r="M67" s="23" t="s">
        <v>673</v>
      </c>
      <c r="N67" s="23">
        <v>30000</v>
      </c>
      <c r="O67" s="23">
        <v>35000</v>
      </c>
      <c r="P67" s="23">
        <v>40000</v>
      </c>
      <c r="Q67" s="24">
        <f>Table13[[#This Row],[Monthly Gross Salary]]/Table13[[#This Row],[Mid]]</f>
        <v>1.0514285714285714</v>
      </c>
      <c r="R67" s="23" t="str">
        <f t="shared" ref="R67:R130" si="2">IF(Q67&lt;0.85,"Very Low",
 IF(Q67&lt;0.95,"Below Mid",
 IF(Q67&lt;=1.05,"Around Mid",
 IF(Q67&lt;=1.15,"Above Mid","High"))))</f>
        <v>Above Mid</v>
      </c>
      <c r="S67" s="23">
        <v>3</v>
      </c>
      <c r="T67" s="25">
        <f>INDEX('Merit Matrix'!$B$4:$F$8,
       MATCH($S67,'Merit Matrix'!$A$4:$A$8,0),
       MATCH(TRIM($R67),'Merit Matrix'!$B$3:$F$3,0))</f>
        <v>0.02</v>
      </c>
      <c r="U67" s="24">
        <f>Table13[[#This Row],[Salary increase %]]*Table13[[#This Row],[Monthly Gross Salary]]</f>
        <v>736</v>
      </c>
      <c r="V67" s="23">
        <f>Table13[[#This Row],[Salary increase Amount]]+Table13[[#This Row],[Monthly Gross Salary]]</f>
        <v>37536</v>
      </c>
      <c r="W67" s="75">
        <v>0.1</v>
      </c>
      <c r="X67" s="6">
        <f>Table13[[#This Row],[New Gross Salary]]*Table13[[#This Row],[STI %]]</f>
        <v>3753.6000000000004</v>
      </c>
      <c r="Y67" s="96">
        <v>1</v>
      </c>
      <c r="Z67" s="6">
        <f>Table13[[#This Row],[Target STI]]*Table13[[#This Row],[Multiplier]]</f>
        <v>3753.6000000000004</v>
      </c>
      <c r="AA67" s="26">
        <v>0.3</v>
      </c>
      <c r="AB67" s="21" t="s">
        <v>9</v>
      </c>
      <c r="AC67" s="24">
        <f>(Table13[[#This Row],[New Gross Salary]]+Table13[[#This Row],[Final STI]])*Table13[[#This Row],[Tax %]]</f>
        <v>12386.88</v>
      </c>
      <c r="AD67" s="24">
        <f>Table13[[#This Row],[New Gross Salary]]*5%</f>
        <v>1876.8000000000002</v>
      </c>
      <c r="AE67" s="21" cm="1">
        <f t="array" ref="AE67">_xlfn.XLOOKUP(AB67,{"A","B","C"},{500,800,1200})</f>
        <v>800</v>
      </c>
      <c r="AF67" s="24">
        <f t="shared" ref="AF67:AF130" si="3">SUM(AC67:AE67)</f>
        <v>15063.68</v>
      </c>
      <c r="AG67" s="27">
        <f>Table13[[#This Row],[New Gross Salary]]+Table13[[#This Row],[Final STI]]-Table13[[#This Row],[Total Deductions
(Tax+Pension+HP)]]</f>
        <v>26225.919999999998</v>
      </c>
    </row>
    <row r="68" spans="1:33" x14ac:dyDescent="0.2">
      <c r="A68" s="20">
        <v>1067</v>
      </c>
      <c r="B68" s="21" t="s">
        <v>79</v>
      </c>
      <c r="C68" s="21" t="s">
        <v>17</v>
      </c>
      <c r="D68" s="21" t="s">
        <v>558</v>
      </c>
      <c r="E68" s="22">
        <v>45292</v>
      </c>
      <c r="F68" s="21" t="s">
        <v>342</v>
      </c>
      <c r="G68" s="21" t="s">
        <v>524</v>
      </c>
      <c r="H68" s="21" t="s">
        <v>520</v>
      </c>
      <c r="I68" s="5" t="s">
        <v>661</v>
      </c>
      <c r="J68" s="21" t="s">
        <v>533</v>
      </c>
      <c r="K68" s="21" t="s">
        <v>536</v>
      </c>
      <c r="L68" s="23">
        <v>36800</v>
      </c>
      <c r="M68" s="23" t="s">
        <v>673</v>
      </c>
      <c r="N68" s="23">
        <v>30000</v>
      </c>
      <c r="O68" s="23">
        <v>35000</v>
      </c>
      <c r="P68" s="23">
        <v>40000</v>
      </c>
      <c r="Q68" s="24">
        <f>Table13[[#This Row],[Monthly Gross Salary]]/Table13[[#This Row],[Mid]]</f>
        <v>1.0514285714285714</v>
      </c>
      <c r="R68" s="23" t="str">
        <f t="shared" si="2"/>
        <v>Above Mid</v>
      </c>
      <c r="S68" s="23">
        <v>3</v>
      </c>
      <c r="T68" s="25">
        <f>INDEX('Merit Matrix'!$B$4:$F$8,
       MATCH($S68,'Merit Matrix'!$A$4:$A$8,0),
       MATCH(TRIM($R68),'Merit Matrix'!$B$3:$F$3,0))</f>
        <v>0.02</v>
      </c>
      <c r="U68" s="24">
        <f>Table13[[#This Row],[Salary increase %]]*Table13[[#This Row],[Monthly Gross Salary]]</f>
        <v>736</v>
      </c>
      <c r="V68" s="23">
        <f>Table13[[#This Row],[Salary increase Amount]]+Table13[[#This Row],[Monthly Gross Salary]]</f>
        <v>37536</v>
      </c>
      <c r="W68" s="75">
        <v>0.1</v>
      </c>
      <c r="X68" s="6">
        <f>Table13[[#This Row],[New Gross Salary]]*Table13[[#This Row],[STI %]]</f>
        <v>3753.6000000000004</v>
      </c>
      <c r="Y68" s="96">
        <v>1</v>
      </c>
      <c r="Z68" s="6">
        <f>Table13[[#This Row],[Target STI]]*Table13[[#This Row],[Multiplier]]</f>
        <v>3753.6000000000004</v>
      </c>
      <c r="AA68" s="26">
        <v>0.3</v>
      </c>
      <c r="AB68" s="21" t="s">
        <v>6</v>
      </c>
      <c r="AC68" s="24">
        <f>(Table13[[#This Row],[New Gross Salary]]+Table13[[#This Row],[Final STI]])*Table13[[#This Row],[Tax %]]</f>
        <v>12386.88</v>
      </c>
      <c r="AD68" s="24">
        <f>Table13[[#This Row],[New Gross Salary]]*5%</f>
        <v>1876.8000000000002</v>
      </c>
      <c r="AE68" s="21" cm="1">
        <f t="array" ref="AE68">_xlfn.XLOOKUP(AB68,{"A","B","C"},{500,800,1200})</f>
        <v>1200</v>
      </c>
      <c r="AF68" s="24">
        <f t="shared" si="3"/>
        <v>15463.68</v>
      </c>
      <c r="AG68" s="27">
        <f>Table13[[#This Row],[New Gross Salary]]+Table13[[#This Row],[Final STI]]-Table13[[#This Row],[Total Deductions
(Tax+Pension+HP)]]</f>
        <v>25825.919999999998</v>
      </c>
    </row>
    <row r="69" spans="1:33" x14ac:dyDescent="0.2">
      <c r="A69" s="20">
        <v>1068</v>
      </c>
      <c r="B69" s="21" t="s">
        <v>80</v>
      </c>
      <c r="C69" s="21" t="s">
        <v>5</v>
      </c>
      <c r="D69" s="21" t="s">
        <v>548</v>
      </c>
      <c r="E69" s="22">
        <v>44927</v>
      </c>
      <c r="F69" s="21" t="s">
        <v>343</v>
      </c>
      <c r="G69" s="21" t="s">
        <v>523</v>
      </c>
      <c r="H69" s="21" t="s">
        <v>520</v>
      </c>
      <c r="I69" s="5" t="s">
        <v>661</v>
      </c>
      <c r="J69" s="21" t="s">
        <v>533</v>
      </c>
      <c r="K69" s="21" t="s">
        <v>536</v>
      </c>
      <c r="L69" s="23">
        <v>36800</v>
      </c>
      <c r="M69" s="23" t="s">
        <v>673</v>
      </c>
      <c r="N69" s="23">
        <v>30000</v>
      </c>
      <c r="O69" s="23">
        <v>35000</v>
      </c>
      <c r="P69" s="23">
        <v>40000</v>
      </c>
      <c r="Q69" s="24">
        <f>Table13[[#This Row],[Monthly Gross Salary]]/Table13[[#This Row],[Mid]]</f>
        <v>1.0514285714285714</v>
      </c>
      <c r="R69" s="23" t="str">
        <f t="shared" si="2"/>
        <v>Above Mid</v>
      </c>
      <c r="S69" s="23">
        <v>3</v>
      </c>
      <c r="T69" s="25">
        <f>INDEX('Merit Matrix'!$B$4:$F$8,
       MATCH($S69,'Merit Matrix'!$A$4:$A$8,0),
       MATCH(TRIM($R69),'Merit Matrix'!$B$3:$F$3,0))</f>
        <v>0.02</v>
      </c>
      <c r="U69" s="24">
        <f>Table13[[#This Row],[Salary increase %]]*Table13[[#This Row],[Monthly Gross Salary]]</f>
        <v>736</v>
      </c>
      <c r="V69" s="23">
        <f>Table13[[#This Row],[Salary increase Amount]]+Table13[[#This Row],[Monthly Gross Salary]]</f>
        <v>37536</v>
      </c>
      <c r="W69" s="75">
        <v>0.1</v>
      </c>
      <c r="X69" s="6">
        <f>Table13[[#This Row],[New Gross Salary]]*Table13[[#This Row],[STI %]]</f>
        <v>3753.6000000000004</v>
      </c>
      <c r="Y69" s="96">
        <v>1</v>
      </c>
      <c r="Z69" s="6">
        <f>Table13[[#This Row],[Target STI]]*Table13[[#This Row],[Multiplier]]</f>
        <v>3753.6000000000004</v>
      </c>
      <c r="AA69" s="26">
        <v>0.28999999999999998</v>
      </c>
      <c r="AB69" s="21" t="s">
        <v>18</v>
      </c>
      <c r="AC69" s="24">
        <f>(Table13[[#This Row],[New Gross Salary]]+Table13[[#This Row],[Final STI]])*Table13[[#This Row],[Tax %]]</f>
        <v>11973.983999999999</v>
      </c>
      <c r="AD69" s="24">
        <f>Table13[[#This Row],[New Gross Salary]]*5%</f>
        <v>1876.8000000000002</v>
      </c>
      <c r="AE69" s="21" cm="1">
        <f t="array" ref="AE69">_xlfn.XLOOKUP(AB69,{"A","B","C"},{500,800,1200})</f>
        <v>500</v>
      </c>
      <c r="AF69" s="24">
        <f t="shared" si="3"/>
        <v>14350.784</v>
      </c>
      <c r="AG69" s="27">
        <f>Table13[[#This Row],[New Gross Salary]]+Table13[[#This Row],[Final STI]]-Table13[[#This Row],[Total Deductions
(Tax+Pension+HP)]]</f>
        <v>26938.815999999999</v>
      </c>
    </row>
    <row r="70" spans="1:33" x14ac:dyDescent="0.2">
      <c r="A70" s="20">
        <v>1069</v>
      </c>
      <c r="B70" s="21" t="s">
        <v>81</v>
      </c>
      <c r="C70" s="21" t="s">
        <v>17</v>
      </c>
      <c r="D70" s="21" t="s">
        <v>558</v>
      </c>
      <c r="E70" s="22">
        <v>45292</v>
      </c>
      <c r="F70" s="21" t="s">
        <v>344</v>
      </c>
      <c r="G70" s="21" t="s">
        <v>524</v>
      </c>
      <c r="H70" s="21" t="s">
        <v>520</v>
      </c>
      <c r="I70" s="5" t="s">
        <v>661</v>
      </c>
      <c r="J70" s="21" t="s">
        <v>533</v>
      </c>
      <c r="K70" s="21" t="s">
        <v>536</v>
      </c>
      <c r="L70" s="23">
        <v>37908</v>
      </c>
      <c r="M70" s="23" t="s">
        <v>673</v>
      </c>
      <c r="N70" s="23">
        <v>30000</v>
      </c>
      <c r="O70" s="23">
        <v>35000</v>
      </c>
      <c r="P70" s="23">
        <v>40000</v>
      </c>
      <c r="Q70" s="24">
        <f>Table13[[#This Row],[Monthly Gross Salary]]/Table13[[#This Row],[Mid]]</f>
        <v>1.0830857142857142</v>
      </c>
      <c r="R70" s="23" t="str">
        <f t="shared" si="2"/>
        <v>Above Mid</v>
      </c>
      <c r="S70" s="23">
        <v>3</v>
      </c>
      <c r="T70" s="25">
        <f>INDEX('Merit Matrix'!$B$4:$F$8,
       MATCH($S70,'Merit Matrix'!$A$4:$A$8,0),
       MATCH(TRIM($R70),'Merit Matrix'!$B$3:$F$3,0))</f>
        <v>0.02</v>
      </c>
      <c r="U70" s="24">
        <f>Table13[[#This Row],[Salary increase %]]*Table13[[#This Row],[Monthly Gross Salary]]</f>
        <v>758.16</v>
      </c>
      <c r="V70" s="23">
        <f>Table13[[#This Row],[Salary increase Amount]]+Table13[[#This Row],[Monthly Gross Salary]]</f>
        <v>38666.160000000003</v>
      </c>
      <c r="W70" s="75">
        <v>0.1</v>
      </c>
      <c r="X70" s="6">
        <f>Table13[[#This Row],[New Gross Salary]]*Table13[[#This Row],[STI %]]</f>
        <v>3866.6160000000004</v>
      </c>
      <c r="Y70" s="96">
        <v>1</v>
      </c>
      <c r="Z70" s="6">
        <f>Table13[[#This Row],[Target STI]]*Table13[[#This Row],[Multiplier]]</f>
        <v>3866.6160000000004</v>
      </c>
      <c r="AA70" s="26">
        <v>0.27</v>
      </c>
      <c r="AB70" s="21" t="s">
        <v>18</v>
      </c>
      <c r="AC70" s="24">
        <f>(Table13[[#This Row],[New Gross Salary]]+Table13[[#This Row],[Final STI]])*Table13[[#This Row],[Tax %]]</f>
        <v>11483.849520000002</v>
      </c>
      <c r="AD70" s="24">
        <f>Table13[[#This Row],[New Gross Salary]]*5%</f>
        <v>1933.3080000000002</v>
      </c>
      <c r="AE70" s="21" cm="1">
        <f t="array" ref="AE70">_xlfn.XLOOKUP(AB70,{"A","B","C"},{500,800,1200})</f>
        <v>500</v>
      </c>
      <c r="AF70" s="24">
        <f t="shared" si="3"/>
        <v>13917.157520000002</v>
      </c>
      <c r="AG70" s="27">
        <f>Table13[[#This Row],[New Gross Salary]]+Table13[[#This Row],[Final STI]]-Table13[[#This Row],[Total Deductions
(Tax+Pension+HP)]]</f>
        <v>28615.618480000005</v>
      </c>
    </row>
    <row r="71" spans="1:33" x14ac:dyDescent="0.2">
      <c r="A71" s="20">
        <v>1070</v>
      </c>
      <c r="B71" s="21" t="s">
        <v>82</v>
      </c>
      <c r="C71" s="21" t="s">
        <v>11</v>
      </c>
      <c r="D71" s="21" t="s">
        <v>528</v>
      </c>
      <c r="E71" s="22">
        <v>45292</v>
      </c>
      <c r="F71" s="21" t="s">
        <v>345</v>
      </c>
      <c r="G71" s="21" t="s">
        <v>523</v>
      </c>
      <c r="H71" s="21" t="s">
        <v>520</v>
      </c>
      <c r="I71" s="5" t="s">
        <v>661</v>
      </c>
      <c r="J71" s="21" t="s">
        <v>533</v>
      </c>
      <c r="K71" s="21" t="s">
        <v>536</v>
      </c>
      <c r="L71" s="23">
        <v>37908</v>
      </c>
      <c r="M71" s="23" t="s">
        <v>673</v>
      </c>
      <c r="N71" s="23">
        <v>30000</v>
      </c>
      <c r="O71" s="23">
        <v>35000</v>
      </c>
      <c r="P71" s="23">
        <v>40000</v>
      </c>
      <c r="Q71" s="24">
        <f>Table13[[#This Row],[Monthly Gross Salary]]/Table13[[#This Row],[Mid]]</f>
        <v>1.0830857142857142</v>
      </c>
      <c r="R71" s="23" t="str">
        <f t="shared" si="2"/>
        <v>Above Mid</v>
      </c>
      <c r="S71" s="23">
        <v>3</v>
      </c>
      <c r="T71" s="25">
        <f>INDEX('Merit Matrix'!$B$4:$F$8,
       MATCH($S71,'Merit Matrix'!$A$4:$A$8,0),
       MATCH(TRIM($R71),'Merit Matrix'!$B$3:$F$3,0))</f>
        <v>0.02</v>
      </c>
      <c r="U71" s="24">
        <f>Table13[[#This Row],[Salary increase %]]*Table13[[#This Row],[Monthly Gross Salary]]</f>
        <v>758.16</v>
      </c>
      <c r="V71" s="23">
        <f>Table13[[#This Row],[Salary increase Amount]]+Table13[[#This Row],[Monthly Gross Salary]]</f>
        <v>38666.160000000003</v>
      </c>
      <c r="W71" s="75">
        <v>0.1</v>
      </c>
      <c r="X71" s="6">
        <f>Table13[[#This Row],[New Gross Salary]]*Table13[[#This Row],[STI %]]</f>
        <v>3866.6160000000004</v>
      </c>
      <c r="Y71" s="96">
        <v>1</v>
      </c>
      <c r="Z71" s="6">
        <f>Table13[[#This Row],[Target STI]]*Table13[[#This Row],[Multiplier]]</f>
        <v>3866.6160000000004</v>
      </c>
      <c r="AA71" s="26">
        <v>0.3</v>
      </c>
      <c r="AB71" s="21" t="s">
        <v>6</v>
      </c>
      <c r="AC71" s="24">
        <f>(Table13[[#This Row],[New Gross Salary]]+Table13[[#This Row],[Final STI]])*Table13[[#This Row],[Tax %]]</f>
        <v>12759.832800000002</v>
      </c>
      <c r="AD71" s="24">
        <f>Table13[[#This Row],[New Gross Salary]]*5%</f>
        <v>1933.3080000000002</v>
      </c>
      <c r="AE71" s="21" cm="1">
        <f t="array" ref="AE71">_xlfn.XLOOKUP(AB71,{"A","B","C"},{500,800,1200})</f>
        <v>1200</v>
      </c>
      <c r="AF71" s="24">
        <f t="shared" si="3"/>
        <v>15893.140800000003</v>
      </c>
      <c r="AG71" s="27">
        <f>Table13[[#This Row],[New Gross Salary]]+Table13[[#This Row],[Final STI]]-Table13[[#This Row],[Total Deductions
(Tax+Pension+HP)]]</f>
        <v>26639.635200000004</v>
      </c>
    </row>
    <row r="72" spans="1:33" x14ac:dyDescent="0.2">
      <c r="A72" s="20">
        <v>1071</v>
      </c>
      <c r="B72" s="21" t="s">
        <v>83</v>
      </c>
      <c r="C72" s="21" t="s">
        <v>8</v>
      </c>
      <c r="D72" s="21" t="s">
        <v>542</v>
      </c>
      <c r="E72" s="22">
        <v>45292</v>
      </c>
      <c r="F72" s="21" t="s">
        <v>346</v>
      </c>
      <c r="G72" s="21" t="s">
        <v>523</v>
      </c>
      <c r="H72" s="21" t="s">
        <v>520</v>
      </c>
      <c r="I72" s="5" t="s">
        <v>661</v>
      </c>
      <c r="J72" s="21" t="s">
        <v>533</v>
      </c>
      <c r="K72" s="21" t="s">
        <v>537</v>
      </c>
      <c r="L72" s="23">
        <v>42254</v>
      </c>
      <c r="M72" s="23" t="s">
        <v>673</v>
      </c>
      <c r="N72" s="23">
        <v>35000</v>
      </c>
      <c r="O72" s="23">
        <v>40000</v>
      </c>
      <c r="P72" s="23">
        <v>45000</v>
      </c>
      <c r="Q72" s="24">
        <f>Table13[[#This Row],[Monthly Gross Salary]]/Table13[[#This Row],[Mid]]</f>
        <v>1.0563499999999999</v>
      </c>
      <c r="R72" s="23" t="str">
        <f t="shared" si="2"/>
        <v>Above Mid</v>
      </c>
      <c r="S72" s="23">
        <v>3</v>
      </c>
      <c r="T72" s="25">
        <f>INDEX('Merit Matrix'!$B$4:$F$8,
       MATCH($S72,'Merit Matrix'!$A$4:$A$8,0),
       MATCH(TRIM($R72),'Merit Matrix'!$B$3:$F$3,0))</f>
        <v>0.02</v>
      </c>
      <c r="U72" s="24">
        <f>Table13[[#This Row],[Salary increase %]]*Table13[[#This Row],[Monthly Gross Salary]]</f>
        <v>845.08</v>
      </c>
      <c r="V72" s="23">
        <f>Table13[[#This Row],[Salary increase Amount]]+Table13[[#This Row],[Monthly Gross Salary]]</f>
        <v>43099.08</v>
      </c>
      <c r="W72" s="75">
        <v>0.1</v>
      </c>
      <c r="X72" s="6">
        <f>Table13[[#This Row],[New Gross Salary]]*Table13[[#This Row],[STI %]]</f>
        <v>4309.9080000000004</v>
      </c>
      <c r="Y72" s="96">
        <v>1</v>
      </c>
      <c r="Z72" s="6">
        <f>Table13[[#This Row],[Target STI]]*Table13[[#This Row],[Multiplier]]</f>
        <v>4309.9080000000004</v>
      </c>
      <c r="AA72" s="26">
        <v>0.32</v>
      </c>
      <c r="AB72" s="21" t="s">
        <v>9</v>
      </c>
      <c r="AC72" s="24">
        <f>(Table13[[#This Row],[New Gross Salary]]+Table13[[#This Row],[Final STI]])*Table13[[#This Row],[Tax %]]</f>
        <v>15170.876160000002</v>
      </c>
      <c r="AD72" s="24">
        <f>Table13[[#This Row],[New Gross Salary]]*5%</f>
        <v>2154.9540000000002</v>
      </c>
      <c r="AE72" s="21" cm="1">
        <f t="array" ref="AE72">_xlfn.XLOOKUP(AB72,{"A","B","C"},{500,800,1200})</f>
        <v>800</v>
      </c>
      <c r="AF72" s="24">
        <f t="shared" si="3"/>
        <v>18125.830160000001</v>
      </c>
      <c r="AG72" s="27">
        <f>Table13[[#This Row],[New Gross Salary]]+Table13[[#This Row],[Final STI]]-Table13[[#This Row],[Total Deductions
(Tax+Pension+HP)]]</f>
        <v>29283.157840000003</v>
      </c>
    </row>
    <row r="73" spans="1:33" x14ac:dyDescent="0.2">
      <c r="A73" s="20">
        <v>1072</v>
      </c>
      <c r="B73" s="21" t="s">
        <v>84</v>
      </c>
      <c r="C73" s="21" t="s">
        <v>42</v>
      </c>
      <c r="D73" s="21" t="s">
        <v>555</v>
      </c>
      <c r="E73" s="22">
        <v>44927</v>
      </c>
      <c r="F73" s="21" t="s">
        <v>347</v>
      </c>
      <c r="G73" s="21" t="s">
        <v>524</v>
      </c>
      <c r="H73" s="21" t="s">
        <v>520</v>
      </c>
      <c r="I73" s="5" t="s">
        <v>661</v>
      </c>
      <c r="J73" s="21" t="s">
        <v>533</v>
      </c>
      <c r="K73" s="21" t="s">
        <v>536</v>
      </c>
      <c r="L73" s="23">
        <v>37908</v>
      </c>
      <c r="M73" s="23" t="s">
        <v>673</v>
      </c>
      <c r="N73" s="23">
        <v>30000</v>
      </c>
      <c r="O73" s="23">
        <v>35000</v>
      </c>
      <c r="P73" s="23">
        <v>40000</v>
      </c>
      <c r="Q73" s="24">
        <f>Table13[[#This Row],[Monthly Gross Salary]]/Table13[[#This Row],[Mid]]</f>
        <v>1.0830857142857142</v>
      </c>
      <c r="R73" s="23" t="str">
        <f t="shared" si="2"/>
        <v>Above Mid</v>
      </c>
      <c r="S73" s="23">
        <v>3</v>
      </c>
      <c r="T73" s="25">
        <f>INDEX('Merit Matrix'!$B$4:$F$8,
       MATCH($S73,'Merit Matrix'!$A$4:$A$8,0),
       MATCH(TRIM($R73),'Merit Matrix'!$B$3:$F$3,0))</f>
        <v>0.02</v>
      </c>
      <c r="U73" s="24">
        <f>Table13[[#This Row],[Salary increase %]]*Table13[[#This Row],[Monthly Gross Salary]]</f>
        <v>758.16</v>
      </c>
      <c r="V73" s="23">
        <f>Table13[[#This Row],[Salary increase Amount]]+Table13[[#This Row],[Monthly Gross Salary]]</f>
        <v>38666.160000000003</v>
      </c>
      <c r="W73" s="75">
        <v>0.1</v>
      </c>
      <c r="X73" s="6">
        <f>Table13[[#This Row],[New Gross Salary]]*Table13[[#This Row],[STI %]]</f>
        <v>3866.6160000000004</v>
      </c>
      <c r="Y73" s="96">
        <v>1</v>
      </c>
      <c r="Z73" s="6">
        <f>Table13[[#This Row],[Target STI]]*Table13[[#This Row],[Multiplier]]</f>
        <v>3866.6160000000004</v>
      </c>
      <c r="AA73" s="26">
        <v>0.31</v>
      </c>
      <c r="AB73" s="21" t="s">
        <v>6</v>
      </c>
      <c r="AC73" s="24">
        <f>(Table13[[#This Row],[New Gross Salary]]+Table13[[#This Row],[Final STI]])*Table13[[#This Row],[Tax %]]</f>
        <v>13185.160560000002</v>
      </c>
      <c r="AD73" s="24">
        <f>Table13[[#This Row],[New Gross Salary]]*5%</f>
        <v>1933.3080000000002</v>
      </c>
      <c r="AE73" s="21" cm="1">
        <f t="array" ref="AE73">_xlfn.XLOOKUP(AB73,{"A","B","C"},{500,800,1200})</f>
        <v>1200</v>
      </c>
      <c r="AF73" s="24">
        <f t="shared" si="3"/>
        <v>16318.468560000003</v>
      </c>
      <c r="AG73" s="27">
        <f>Table13[[#This Row],[New Gross Salary]]+Table13[[#This Row],[Final STI]]-Table13[[#This Row],[Total Deductions
(Tax+Pension+HP)]]</f>
        <v>26214.307440000004</v>
      </c>
    </row>
    <row r="74" spans="1:33" x14ac:dyDescent="0.2">
      <c r="A74" s="20">
        <v>1073</v>
      </c>
      <c r="B74" s="21" t="s">
        <v>85</v>
      </c>
      <c r="C74" s="21" t="s">
        <v>42</v>
      </c>
      <c r="D74" s="21" t="s">
        <v>555</v>
      </c>
      <c r="E74" s="22">
        <v>44927</v>
      </c>
      <c r="F74" s="21" t="s">
        <v>348</v>
      </c>
      <c r="G74" s="21" t="s">
        <v>524</v>
      </c>
      <c r="H74" s="21" t="s">
        <v>520</v>
      </c>
      <c r="I74" s="5" t="s">
        <v>661</v>
      </c>
      <c r="J74" s="21" t="s">
        <v>533</v>
      </c>
      <c r="K74" s="21" t="s">
        <v>536</v>
      </c>
      <c r="L74" s="23">
        <v>37908</v>
      </c>
      <c r="M74" s="23" t="s">
        <v>673</v>
      </c>
      <c r="N74" s="23">
        <v>30000</v>
      </c>
      <c r="O74" s="23">
        <v>35000</v>
      </c>
      <c r="P74" s="23">
        <v>40000</v>
      </c>
      <c r="Q74" s="24">
        <f>Table13[[#This Row],[Monthly Gross Salary]]/Table13[[#This Row],[Mid]]</f>
        <v>1.0830857142857142</v>
      </c>
      <c r="R74" s="23" t="str">
        <f t="shared" si="2"/>
        <v>Above Mid</v>
      </c>
      <c r="S74" s="23">
        <v>3</v>
      </c>
      <c r="T74" s="25">
        <f>INDEX('Merit Matrix'!$B$4:$F$8,
       MATCH($S74,'Merit Matrix'!$A$4:$A$8,0),
       MATCH(TRIM($R74),'Merit Matrix'!$B$3:$F$3,0))</f>
        <v>0.02</v>
      </c>
      <c r="U74" s="24">
        <f>Table13[[#This Row],[Salary increase %]]*Table13[[#This Row],[Monthly Gross Salary]]</f>
        <v>758.16</v>
      </c>
      <c r="V74" s="23">
        <f>Table13[[#This Row],[Salary increase Amount]]+Table13[[#This Row],[Monthly Gross Salary]]</f>
        <v>38666.160000000003</v>
      </c>
      <c r="W74" s="75">
        <v>0.1</v>
      </c>
      <c r="X74" s="6">
        <f>Table13[[#This Row],[New Gross Salary]]*Table13[[#This Row],[STI %]]</f>
        <v>3866.6160000000004</v>
      </c>
      <c r="Y74" s="96">
        <v>1</v>
      </c>
      <c r="Z74" s="6">
        <f>Table13[[#This Row],[Target STI]]*Table13[[#This Row],[Multiplier]]</f>
        <v>3866.6160000000004</v>
      </c>
      <c r="AA74" s="26">
        <v>0.27</v>
      </c>
      <c r="AB74" s="21" t="s">
        <v>18</v>
      </c>
      <c r="AC74" s="24">
        <f>(Table13[[#This Row],[New Gross Salary]]+Table13[[#This Row],[Final STI]])*Table13[[#This Row],[Tax %]]</f>
        <v>11483.849520000002</v>
      </c>
      <c r="AD74" s="24">
        <f>Table13[[#This Row],[New Gross Salary]]*5%</f>
        <v>1933.3080000000002</v>
      </c>
      <c r="AE74" s="21" cm="1">
        <f t="array" ref="AE74">_xlfn.XLOOKUP(AB74,{"A","B","C"},{500,800,1200})</f>
        <v>500</v>
      </c>
      <c r="AF74" s="24">
        <f t="shared" si="3"/>
        <v>13917.157520000002</v>
      </c>
      <c r="AG74" s="27">
        <f>Table13[[#This Row],[New Gross Salary]]+Table13[[#This Row],[Final STI]]-Table13[[#This Row],[Total Deductions
(Tax+Pension+HP)]]</f>
        <v>28615.618480000005</v>
      </c>
    </row>
    <row r="75" spans="1:33" x14ac:dyDescent="0.2">
      <c r="A75" s="20">
        <v>1074</v>
      </c>
      <c r="B75" s="21" t="s">
        <v>86</v>
      </c>
      <c r="C75" s="21" t="s">
        <v>8</v>
      </c>
      <c r="D75" s="21" t="s">
        <v>542</v>
      </c>
      <c r="E75" s="22">
        <v>45292</v>
      </c>
      <c r="F75" s="21" t="s">
        <v>349</v>
      </c>
      <c r="G75" s="21" t="s">
        <v>523</v>
      </c>
      <c r="H75" s="21" t="s">
        <v>520</v>
      </c>
      <c r="I75" s="5" t="s">
        <v>661</v>
      </c>
      <c r="J75" s="21" t="s">
        <v>533</v>
      </c>
      <c r="K75" s="21" t="s">
        <v>537</v>
      </c>
      <c r="L75" s="23">
        <v>42254</v>
      </c>
      <c r="M75" s="23" t="s">
        <v>673</v>
      </c>
      <c r="N75" s="23">
        <v>35000</v>
      </c>
      <c r="O75" s="23">
        <v>40000</v>
      </c>
      <c r="P75" s="23">
        <v>45000</v>
      </c>
      <c r="Q75" s="24">
        <f>Table13[[#This Row],[Monthly Gross Salary]]/Table13[[#This Row],[Mid]]</f>
        <v>1.0563499999999999</v>
      </c>
      <c r="R75" s="23" t="str">
        <f t="shared" si="2"/>
        <v>Above Mid</v>
      </c>
      <c r="S75" s="23">
        <v>3</v>
      </c>
      <c r="T75" s="25">
        <f>INDEX('Merit Matrix'!$B$4:$F$8,
       MATCH($S75,'Merit Matrix'!$A$4:$A$8,0),
       MATCH(TRIM($R75),'Merit Matrix'!$B$3:$F$3,0))</f>
        <v>0.02</v>
      </c>
      <c r="U75" s="24">
        <f>Table13[[#This Row],[Salary increase %]]*Table13[[#This Row],[Monthly Gross Salary]]</f>
        <v>845.08</v>
      </c>
      <c r="V75" s="23">
        <f>Table13[[#This Row],[Salary increase Amount]]+Table13[[#This Row],[Monthly Gross Salary]]</f>
        <v>43099.08</v>
      </c>
      <c r="W75" s="75">
        <v>0.1</v>
      </c>
      <c r="X75" s="6">
        <f>Table13[[#This Row],[New Gross Salary]]*Table13[[#This Row],[STI %]]</f>
        <v>4309.9080000000004</v>
      </c>
      <c r="Y75" s="96">
        <v>1</v>
      </c>
      <c r="Z75" s="6">
        <f>Table13[[#This Row],[Target STI]]*Table13[[#This Row],[Multiplier]]</f>
        <v>4309.9080000000004</v>
      </c>
      <c r="AA75" s="26">
        <v>0.28999999999999998</v>
      </c>
      <c r="AB75" s="21" t="s">
        <v>9</v>
      </c>
      <c r="AC75" s="24">
        <f>(Table13[[#This Row],[New Gross Salary]]+Table13[[#This Row],[Final STI]])*Table13[[#This Row],[Tax %]]</f>
        <v>13748.606520000001</v>
      </c>
      <c r="AD75" s="24">
        <f>Table13[[#This Row],[New Gross Salary]]*5%</f>
        <v>2154.9540000000002</v>
      </c>
      <c r="AE75" s="21" cm="1">
        <f t="array" ref="AE75">_xlfn.XLOOKUP(AB75,{"A","B","C"},{500,800,1200})</f>
        <v>800</v>
      </c>
      <c r="AF75" s="24">
        <f t="shared" si="3"/>
        <v>16703.560519999999</v>
      </c>
      <c r="AG75" s="27">
        <f>Table13[[#This Row],[New Gross Salary]]+Table13[[#This Row],[Final STI]]-Table13[[#This Row],[Total Deductions
(Tax+Pension+HP)]]</f>
        <v>30705.427480000006</v>
      </c>
    </row>
    <row r="76" spans="1:33" x14ac:dyDescent="0.2">
      <c r="A76" s="20">
        <v>1075</v>
      </c>
      <c r="B76" s="21" t="s">
        <v>87</v>
      </c>
      <c r="C76" s="21" t="s">
        <v>42</v>
      </c>
      <c r="D76" s="21" t="s">
        <v>555</v>
      </c>
      <c r="E76" s="22">
        <v>44927</v>
      </c>
      <c r="F76" s="21" t="s">
        <v>350</v>
      </c>
      <c r="G76" s="21" t="s">
        <v>524</v>
      </c>
      <c r="H76" s="21" t="s">
        <v>520</v>
      </c>
      <c r="I76" s="5" t="s">
        <v>661</v>
      </c>
      <c r="J76" s="21" t="s">
        <v>533</v>
      </c>
      <c r="K76" s="21" t="s">
        <v>536</v>
      </c>
      <c r="L76" s="23">
        <v>37908</v>
      </c>
      <c r="M76" s="23" t="s">
        <v>673</v>
      </c>
      <c r="N76" s="23">
        <v>30000</v>
      </c>
      <c r="O76" s="23">
        <v>35000</v>
      </c>
      <c r="P76" s="23">
        <v>40000</v>
      </c>
      <c r="Q76" s="24">
        <f>Table13[[#This Row],[Monthly Gross Salary]]/Table13[[#This Row],[Mid]]</f>
        <v>1.0830857142857142</v>
      </c>
      <c r="R76" s="23" t="str">
        <f t="shared" si="2"/>
        <v>Above Mid</v>
      </c>
      <c r="S76" s="23">
        <v>3</v>
      </c>
      <c r="T76" s="25">
        <f>INDEX('Merit Matrix'!$B$4:$F$8,
       MATCH($S76,'Merit Matrix'!$A$4:$A$8,0),
       MATCH(TRIM($R76),'Merit Matrix'!$B$3:$F$3,0))</f>
        <v>0.02</v>
      </c>
      <c r="U76" s="24">
        <f>Table13[[#This Row],[Salary increase %]]*Table13[[#This Row],[Monthly Gross Salary]]</f>
        <v>758.16</v>
      </c>
      <c r="V76" s="23">
        <f>Table13[[#This Row],[Salary increase Amount]]+Table13[[#This Row],[Monthly Gross Salary]]</f>
        <v>38666.160000000003</v>
      </c>
      <c r="W76" s="75">
        <v>0.1</v>
      </c>
      <c r="X76" s="6">
        <f>Table13[[#This Row],[New Gross Salary]]*Table13[[#This Row],[STI %]]</f>
        <v>3866.6160000000004</v>
      </c>
      <c r="Y76" s="96">
        <v>1</v>
      </c>
      <c r="Z76" s="6">
        <f>Table13[[#This Row],[Target STI]]*Table13[[#This Row],[Multiplier]]</f>
        <v>3866.6160000000004</v>
      </c>
      <c r="AA76" s="26">
        <v>0.32</v>
      </c>
      <c r="AB76" s="21" t="s">
        <v>9</v>
      </c>
      <c r="AC76" s="24">
        <f>(Table13[[#This Row],[New Gross Salary]]+Table13[[#This Row],[Final STI]])*Table13[[#This Row],[Tax %]]</f>
        <v>13610.488320000002</v>
      </c>
      <c r="AD76" s="24">
        <f>Table13[[#This Row],[New Gross Salary]]*5%</f>
        <v>1933.3080000000002</v>
      </c>
      <c r="AE76" s="21" cm="1">
        <f t="array" ref="AE76">_xlfn.XLOOKUP(AB76,{"A","B","C"},{500,800,1200})</f>
        <v>800</v>
      </c>
      <c r="AF76" s="24">
        <f t="shared" si="3"/>
        <v>16343.796320000003</v>
      </c>
      <c r="AG76" s="27">
        <f>Table13[[#This Row],[New Gross Salary]]+Table13[[#This Row],[Final STI]]-Table13[[#This Row],[Total Deductions
(Tax+Pension+HP)]]</f>
        <v>26188.979680000004</v>
      </c>
    </row>
    <row r="77" spans="1:33" x14ac:dyDescent="0.2">
      <c r="A77" s="20">
        <v>1076</v>
      </c>
      <c r="B77" s="21" t="s">
        <v>88</v>
      </c>
      <c r="C77" s="21" t="s">
        <v>5</v>
      </c>
      <c r="D77" s="21" t="s">
        <v>549</v>
      </c>
      <c r="E77" s="22">
        <v>45292</v>
      </c>
      <c r="F77" s="21" t="s">
        <v>351</v>
      </c>
      <c r="G77" s="21" t="s">
        <v>523</v>
      </c>
      <c r="H77" s="21" t="s">
        <v>520</v>
      </c>
      <c r="I77" s="5" t="s">
        <v>661</v>
      </c>
      <c r="J77" s="21" t="s">
        <v>535</v>
      </c>
      <c r="K77" s="21" t="s">
        <v>538</v>
      </c>
      <c r="L77" s="23">
        <v>45304</v>
      </c>
      <c r="M77" s="23" t="s">
        <v>673</v>
      </c>
      <c r="N77" s="23">
        <v>38000</v>
      </c>
      <c r="O77" s="23">
        <v>50000</v>
      </c>
      <c r="P77" s="23">
        <v>56000</v>
      </c>
      <c r="Q77" s="24">
        <f>Table13[[#This Row],[Monthly Gross Salary]]/Table13[[#This Row],[Mid]]</f>
        <v>0.90608</v>
      </c>
      <c r="R77" s="23" t="str">
        <f t="shared" si="2"/>
        <v>Below Mid</v>
      </c>
      <c r="S77" s="23">
        <v>3</v>
      </c>
      <c r="T77" s="25">
        <f>INDEX('Merit Matrix'!$B$4:$F$8,
       MATCH($S77,'Merit Matrix'!$A$4:$A$8,0),
       MATCH(TRIM($R77),'Merit Matrix'!$B$3:$F$3,0))</f>
        <v>0.03</v>
      </c>
      <c r="U77" s="24">
        <f>Table13[[#This Row],[Salary increase %]]*Table13[[#This Row],[Monthly Gross Salary]]</f>
        <v>1359.12</v>
      </c>
      <c r="V77" s="23">
        <f>Table13[[#This Row],[Salary increase Amount]]+Table13[[#This Row],[Monthly Gross Salary]]</f>
        <v>46663.12</v>
      </c>
      <c r="W77" s="75">
        <v>0.15</v>
      </c>
      <c r="X77" s="6">
        <f>Table13[[#This Row],[New Gross Salary]]*Table13[[#This Row],[STI %]]</f>
        <v>6999.4679999999998</v>
      </c>
      <c r="Y77" s="96">
        <v>1</v>
      </c>
      <c r="Z77" s="6">
        <f>Table13[[#This Row],[Target STI]]*Table13[[#This Row],[Multiplier]]</f>
        <v>6999.4679999999998</v>
      </c>
      <c r="AA77" s="26">
        <v>0.28000000000000003</v>
      </c>
      <c r="AB77" s="21" t="s">
        <v>18</v>
      </c>
      <c r="AC77" s="24">
        <f>(Table13[[#This Row],[New Gross Salary]]+Table13[[#This Row],[Final STI]])*Table13[[#This Row],[Tax %]]</f>
        <v>15025.524640000003</v>
      </c>
      <c r="AD77" s="24">
        <f>Table13[[#This Row],[New Gross Salary]]*5%</f>
        <v>2333.1560000000004</v>
      </c>
      <c r="AE77" s="21" cm="1">
        <f t="array" ref="AE77">_xlfn.XLOOKUP(AB77,{"A","B","C"},{500,800,1200})</f>
        <v>500</v>
      </c>
      <c r="AF77" s="24">
        <f t="shared" si="3"/>
        <v>17858.680640000002</v>
      </c>
      <c r="AG77" s="27">
        <f>Table13[[#This Row],[New Gross Salary]]+Table13[[#This Row],[Final STI]]-Table13[[#This Row],[Total Deductions
(Tax+Pension+HP)]]</f>
        <v>35803.907359999997</v>
      </c>
    </row>
    <row r="78" spans="1:33" x14ac:dyDescent="0.2">
      <c r="A78" s="20">
        <v>1077</v>
      </c>
      <c r="B78" s="21" t="s">
        <v>89</v>
      </c>
      <c r="C78" s="21" t="s">
        <v>17</v>
      </c>
      <c r="D78" s="21" t="s">
        <v>558</v>
      </c>
      <c r="E78" s="22">
        <v>45292</v>
      </c>
      <c r="F78" s="21" t="s">
        <v>352</v>
      </c>
      <c r="G78" s="21" t="s">
        <v>524</v>
      </c>
      <c r="H78" s="21" t="s">
        <v>520</v>
      </c>
      <c r="I78" s="5" t="s">
        <v>661</v>
      </c>
      <c r="J78" s="21" t="s">
        <v>533</v>
      </c>
      <c r="K78" s="21" t="s">
        <v>536</v>
      </c>
      <c r="L78" s="23">
        <v>37908</v>
      </c>
      <c r="M78" s="23" t="s">
        <v>673</v>
      </c>
      <c r="N78" s="23">
        <v>30000</v>
      </c>
      <c r="O78" s="23">
        <v>35000</v>
      </c>
      <c r="P78" s="23">
        <v>40000</v>
      </c>
      <c r="Q78" s="24">
        <f>Table13[[#This Row],[Monthly Gross Salary]]/Table13[[#This Row],[Mid]]</f>
        <v>1.0830857142857142</v>
      </c>
      <c r="R78" s="23" t="str">
        <f t="shared" si="2"/>
        <v>Above Mid</v>
      </c>
      <c r="S78" s="23">
        <v>3</v>
      </c>
      <c r="T78" s="25">
        <f>INDEX('Merit Matrix'!$B$4:$F$8,
       MATCH($S78,'Merit Matrix'!$A$4:$A$8,0),
       MATCH(TRIM($R78),'Merit Matrix'!$B$3:$F$3,0))</f>
        <v>0.02</v>
      </c>
      <c r="U78" s="24">
        <f>Table13[[#This Row],[Salary increase %]]*Table13[[#This Row],[Monthly Gross Salary]]</f>
        <v>758.16</v>
      </c>
      <c r="V78" s="23">
        <f>Table13[[#This Row],[Salary increase Amount]]+Table13[[#This Row],[Monthly Gross Salary]]</f>
        <v>38666.160000000003</v>
      </c>
      <c r="W78" s="75">
        <v>0.1</v>
      </c>
      <c r="X78" s="6">
        <f>Table13[[#This Row],[New Gross Salary]]*Table13[[#This Row],[STI %]]</f>
        <v>3866.6160000000004</v>
      </c>
      <c r="Y78" s="96">
        <v>1</v>
      </c>
      <c r="Z78" s="6">
        <f>Table13[[#This Row],[Target STI]]*Table13[[#This Row],[Multiplier]]</f>
        <v>3866.6160000000004</v>
      </c>
      <c r="AA78" s="26">
        <v>0.32</v>
      </c>
      <c r="AB78" s="21" t="s">
        <v>9</v>
      </c>
      <c r="AC78" s="24">
        <f>(Table13[[#This Row],[New Gross Salary]]+Table13[[#This Row],[Final STI]])*Table13[[#This Row],[Tax %]]</f>
        <v>13610.488320000002</v>
      </c>
      <c r="AD78" s="24">
        <f>Table13[[#This Row],[New Gross Salary]]*5%</f>
        <v>1933.3080000000002</v>
      </c>
      <c r="AE78" s="21" cm="1">
        <f t="array" ref="AE78">_xlfn.XLOOKUP(AB78,{"A","B","C"},{500,800,1200})</f>
        <v>800</v>
      </c>
      <c r="AF78" s="24">
        <f t="shared" si="3"/>
        <v>16343.796320000003</v>
      </c>
      <c r="AG78" s="27">
        <f>Table13[[#This Row],[New Gross Salary]]+Table13[[#This Row],[Final STI]]-Table13[[#This Row],[Total Deductions
(Tax+Pension+HP)]]</f>
        <v>26188.979680000004</v>
      </c>
    </row>
    <row r="79" spans="1:33" x14ac:dyDescent="0.2">
      <c r="A79" s="20">
        <v>1078</v>
      </c>
      <c r="B79" s="21" t="s">
        <v>90</v>
      </c>
      <c r="C79" s="21" t="s">
        <v>5</v>
      </c>
      <c r="D79" s="21" t="s">
        <v>549</v>
      </c>
      <c r="E79" s="22">
        <v>45292</v>
      </c>
      <c r="F79" s="21" t="s">
        <v>353</v>
      </c>
      <c r="G79" s="21" t="s">
        <v>523</v>
      </c>
      <c r="H79" s="21" t="s">
        <v>520</v>
      </c>
      <c r="I79" s="5" t="s">
        <v>661</v>
      </c>
      <c r="J79" s="21" t="s">
        <v>535</v>
      </c>
      <c r="K79" s="21" t="s">
        <v>538</v>
      </c>
      <c r="L79" s="23">
        <v>45304</v>
      </c>
      <c r="M79" s="23" t="s">
        <v>673</v>
      </c>
      <c r="N79" s="23">
        <v>38000</v>
      </c>
      <c r="O79" s="23">
        <v>50000</v>
      </c>
      <c r="P79" s="23">
        <v>56000</v>
      </c>
      <c r="Q79" s="24">
        <f>Table13[[#This Row],[Monthly Gross Salary]]/Table13[[#This Row],[Mid]]</f>
        <v>0.90608</v>
      </c>
      <c r="R79" s="23" t="str">
        <f t="shared" si="2"/>
        <v>Below Mid</v>
      </c>
      <c r="S79" s="23">
        <v>3</v>
      </c>
      <c r="T79" s="25">
        <f>INDEX('Merit Matrix'!$B$4:$F$8,
       MATCH($S79,'Merit Matrix'!$A$4:$A$8,0),
       MATCH(TRIM($R79),'Merit Matrix'!$B$3:$F$3,0))</f>
        <v>0.03</v>
      </c>
      <c r="U79" s="24">
        <f>Table13[[#This Row],[Salary increase %]]*Table13[[#This Row],[Monthly Gross Salary]]</f>
        <v>1359.12</v>
      </c>
      <c r="V79" s="23">
        <f>Table13[[#This Row],[Salary increase Amount]]+Table13[[#This Row],[Monthly Gross Salary]]</f>
        <v>46663.12</v>
      </c>
      <c r="W79" s="75">
        <v>0.15</v>
      </c>
      <c r="X79" s="6">
        <f>Table13[[#This Row],[New Gross Salary]]*Table13[[#This Row],[STI %]]</f>
        <v>6999.4679999999998</v>
      </c>
      <c r="Y79" s="96">
        <v>1</v>
      </c>
      <c r="Z79" s="6">
        <f>Table13[[#This Row],[Target STI]]*Table13[[#This Row],[Multiplier]]</f>
        <v>6999.4679999999998</v>
      </c>
      <c r="AA79" s="26">
        <v>0.28999999999999998</v>
      </c>
      <c r="AB79" s="21" t="s">
        <v>6</v>
      </c>
      <c r="AC79" s="24">
        <f>(Table13[[#This Row],[New Gross Salary]]+Table13[[#This Row],[Final STI]])*Table13[[#This Row],[Tax %]]</f>
        <v>15562.150519999999</v>
      </c>
      <c r="AD79" s="24">
        <f>Table13[[#This Row],[New Gross Salary]]*5%</f>
        <v>2333.1560000000004</v>
      </c>
      <c r="AE79" s="21" cm="1">
        <f t="array" ref="AE79">_xlfn.XLOOKUP(AB79,{"A","B","C"},{500,800,1200})</f>
        <v>1200</v>
      </c>
      <c r="AF79" s="24">
        <f t="shared" si="3"/>
        <v>19095.306519999998</v>
      </c>
      <c r="AG79" s="27">
        <f>Table13[[#This Row],[New Gross Salary]]+Table13[[#This Row],[Final STI]]-Table13[[#This Row],[Total Deductions
(Tax+Pension+HP)]]</f>
        <v>34567.281480000005</v>
      </c>
    </row>
    <row r="80" spans="1:33" x14ac:dyDescent="0.2">
      <c r="A80" s="20">
        <v>1079</v>
      </c>
      <c r="B80" s="21" t="s">
        <v>91</v>
      </c>
      <c r="C80" s="21" t="s">
        <v>5</v>
      </c>
      <c r="D80" s="21" t="s">
        <v>549</v>
      </c>
      <c r="E80" s="22">
        <v>45292</v>
      </c>
      <c r="F80" s="21" t="s">
        <v>354</v>
      </c>
      <c r="G80" s="21" t="s">
        <v>523</v>
      </c>
      <c r="H80" s="21" t="s">
        <v>520</v>
      </c>
      <c r="I80" s="5" t="s">
        <v>661</v>
      </c>
      <c r="J80" s="21" t="s">
        <v>535</v>
      </c>
      <c r="K80" s="21" t="s">
        <v>538</v>
      </c>
      <c r="L80" s="23">
        <v>45304</v>
      </c>
      <c r="M80" s="23" t="s">
        <v>673</v>
      </c>
      <c r="N80" s="23">
        <v>38000</v>
      </c>
      <c r="O80" s="23">
        <v>50000</v>
      </c>
      <c r="P80" s="23">
        <v>56000</v>
      </c>
      <c r="Q80" s="24">
        <f>Table13[[#This Row],[Monthly Gross Salary]]/Table13[[#This Row],[Mid]]</f>
        <v>0.90608</v>
      </c>
      <c r="R80" s="23" t="str">
        <f t="shared" si="2"/>
        <v>Below Mid</v>
      </c>
      <c r="S80" s="23">
        <v>3</v>
      </c>
      <c r="T80" s="25">
        <f>INDEX('Merit Matrix'!$B$4:$F$8,
       MATCH($S80,'Merit Matrix'!$A$4:$A$8,0),
       MATCH(TRIM($R80),'Merit Matrix'!$B$3:$F$3,0))</f>
        <v>0.03</v>
      </c>
      <c r="U80" s="24">
        <f>Table13[[#This Row],[Salary increase %]]*Table13[[#This Row],[Monthly Gross Salary]]</f>
        <v>1359.12</v>
      </c>
      <c r="V80" s="23">
        <f>Table13[[#This Row],[Salary increase Amount]]+Table13[[#This Row],[Monthly Gross Salary]]</f>
        <v>46663.12</v>
      </c>
      <c r="W80" s="75">
        <v>0.15</v>
      </c>
      <c r="X80" s="6">
        <f>Table13[[#This Row],[New Gross Salary]]*Table13[[#This Row],[STI %]]</f>
        <v>6999.4679999999998</v>
      </c>
      <c r="Y80" s="96">
        <v>1</v>
      </c>
      <c r="Z80" s="6">
        <f>Table13[[#This Row],[Target STI]]*Table13[[#This Row],[Multiplier]]</f>
        <v>6999.4679999999998</v>
      </c>
      <c r="AA80" s="26">
        <v>0.27</v>
      </c>
      <c r="AB80" s="21" t="s">
        <v>9</v>
      </c>
      <c r="AC80" s="24">
        <f>(Table13[[#This Row],[New Gross Salary]]+Table13[[#This Row],[Final STI]])*Table13[[#This Row],[Tax %]]</f>
        <v>14488.898760000002</v>
      </c>
      <c r="AD80" s="24">
        <f>Table13[[#This Row],[New Gross Salary]]*5%</f>
        <v>2333.1560000000004</v>
      </c>
      <c r="AE80" s="21" cm="1">
        <f t="array" ref="AE80">_xlfn.XLOOKUP(AB80,{"A","B","C"},{500,800,1200})</f>
        <v>800</v>
      </c>
      <c r="AF80" s="24">
        <f t="shared" si="3"/>
        <v>17622.054760000003</v>
      </c>
      <c r="AG80" s="27">
        <f>Table13[[#This Row],[New Gross Salary]]+Table13[[#This Row],[Final STI]]-Table13[[#This Row],[Total Deductions
(Tax+Pension+HP)]]</f>
        <v>36040.533240000004</v>
      </c>
    </row>
    <row r="81" spans="1:33" x14ac:dyDescent="0.2">
      <c r="A81" s="20">
        <v>1080</v>
      </c>
      <c r="B81" s="21" t="s">
        <v>92</v>
      </c>
      <c r="C81" s="21" t="s">
        <v>8</v>
      </c>
      <c r="D81" s="21" t="s">
        <v>542</v>
      </c>
      <c r="E81" s="22">
        <v>45292</v>
      </c>
      <c r="F81" s="21" t="s">
        <v>355</v>
      </c>
      <c r="G81" s="21" t="s">
        <v>523</v>
      </c>
      <c r="H81" s="21" t="s">
        <v>520</v>
      </c>
      <c r="I81" s="5" t="s">
        <v>661</v>
      </c>
      <c r="J81" s="21" t="s">
        <v>533</v>
      </c>
      <c r="K81" s="21" t="s">
        <v>537</v>
      </c>
      <c r="L81" s="23">
        <v>42254</v>
      </c>
      <c r="M81" s="23" t="s">
        <v>673</v>
      </c>
      <c r="N81" s="23">
        <v>35000</v>
      </c>
      <c r="O81" s="23">
        <v>40000</v>
      </c>
      <c r="P81" s="23">
        <v>45000</v>
      </c>
      <c r="Q81" s="24">
        <f>Table13[[#This Row],[Monthly Gross Salary]]/Table13[[#This Row],[Mid]]</f>
        <v>1.0563499999999999</v>
      </c>
      <c r="R81" s="23" t="str">
        <f t="shared" si="2"/>
        <v>Above Mid</v>
      </c>
      <c r="S81" s="23">
        <v>3</v>
      </c>
      <c r="T81" s="25">
        <f>INDEX('Merit Matrix'!$B$4:$F$8,
       MATCH($S81,'Merit Matrix'!$A$4:$A$8,0),
       MATCH(TRIM($R81),'Merit Matrix'!$B$3:$F$3,0))</f>
        <v>0.02</v>
      </c>
      <c r="U81" s="24">
        <f>Table13[[#This Row],[Salary increase %]]*Table13[[#This Row],[Monthly Gross Salary]]</f>
        <v>845.08</v>
      </c>
      <c r="V81" s="23">
        <f>Table13[[#This Row],[Salary increase Amount]]+Table13[[#This Row],[Monthly Gross Salary]]</f>
        <v>43099.08</v>
      </c>
      <c r="W81" s="75">
        <v>0.1</v>
      </c>
      <c r="X81" s="6">
        <f>Table13[[#This Row],[New Gross Salary]]*Table13[[#This Row],[STI %]]</f>
        <v>4309.9080000000004</v>
      </c>
      <c r="Y81" s="96">
        <v>1</v>
      </c>
      <c r="Z81" s="6">
        <f>Table13[[#This Row],[Target STI]]*Table13[[#This Row],[Multiplier]]</f>
        <v>4309.9080000000004</v>
      </c>
      <c r="AA81" s="26">
        <v>0.31</v>
      </c>
      <c r="AB81" s="21" t="s">
        <v>18</v>
      </c>
      <c r="AC81" s="24">
        <f>(Table13[[#This Row],[New Gross Salary]]+Table13[[#This Row],[Final STI]])*Table13[[#This Row],[Tax %]]</f>
        <v>14696.786280000002</v>
      </c>
      <c r="AD81" s="24">
        <f>Table13[[#This Row],[New Gross Salary]]*5%</f>
        <v>2154.9540000000002</v>
      </c>
      <c r="AE81" s="21" cm="1">
        <f t="array" ref="AE81">_xlfn.XLOOKUP(AB81,{"A","B","C"},{500,800,1200})</f>
        <v>500</v>
      </c>
      <c r="AF81" s="24">
        <f t="shared" si="3"/>
        <v>17351.740280000002</v>
      </c>
      <c r="AG81" s="27">
        <f>Table13[[#This Row],[New Gross Salary]]+Table13[[#This Row],[Final STI]]-Table13[[#This Row],[Total Deductions
(Tax+Pension+HP)]]</f>
        <v>30057.247720000003</v>
      </c>
    </row>
    <row r="82" spans="1:33" x14ac:dyDescent="0.2">
      <c r="A82" s="20">
        <v>1081</v>
      </c>
      <c r="B82" s="21" t="s">
        <v>93</v>
      </c>
      <c r="C82" s="21" t="s">
        <v>11</v>
      </c>
      <c r="D82" s="21" t="s">
        <v>528</v>
      </c>
      <c r="E82" s="22">
        <v>45292</v>
      </c>
      <c r="F82" s="21" t="s">
        <v>356</v>
      </c>
      <c r="G82" s="21" t="s">
        <v>523</v>
      </c>
      <c r="H82" s="21" t="s">
        <v>520</v>
      </c>
      <c r="I82" s="5" t="s">
        <v>661</v>
      </c>
      <c r="J82" s="21" t="s">
        <v>533</v>
      </c>
      <c r="K82" s="21" t="s">
        <v>536</v>
      </c>
      <c r="L82" s="23">
        <v>39020</v>
      </c>
      <c r="M82" s="23" t="s">
        <v>673</v>
      </c>
      <c r="N82" s="23">
        <v>30000</v>
      </c>
      <c r="O82" s="23">
        <v>35000</v>
      </c>
      <c r="P82" s="23">
        <v>40000</v>
      </c>
      <c r="Q82" s="24">
        <f>Table13[[#This Row],[Monthly Gross Salary]]/Table13[[#This Row],[Mid]]</f>
        <v>1.1148571428571428</v>
      </c>
      <c r="R82" s="23" t="str">
        <f t="shared" si="2"/>
        <v>Above Mid</v>
      </c>
      <c r="S82" s="23">
        <v>3</v>
      </c>
      <c r="T82" s="25">
        <f>INDEX('Merit Matrix'!$B$4:$F$8,
       MATCH($S82,'Merit Matrix'!$A$4:$A$8,0),
       MATCH(TRIM($R82),'Merit Matrix'!$B$3:$F$3,0))</f>
        <v>0.02</v>
      </c>
      <c r="U82" s="24">
        <f>Table13[[#This Row],[Salary increase %]]*Table13[[#This Row],[Monthly Gross Salary]]</f>
        <v>780.4</v>
      </c>
      <c r="V82" s="23">
        <f>Table13[[#This Row],[Salary increase Amount]]+Table13[[#This Row],[Monthly Gross Salary]]</f>
        <v>39800.400000000001</v>
      </c>
      <c r="W82" s="75">
        <v>0.1</v>
      </c>
      <c r="X82" s="6">
        <f>Table13[[#This Row],[New Gross Salary]]*Table13[[#This Row],[STI %]]</f>
        <v>3980.0400000000004</v>
      </c>
      <c r="Y82" s="96">
        <v>1</v>
      </c>
      <c r="Z82" s="6">
        <f>Table13[[#This Row],[Target STI]]*Table13[[#This Row],[Multiplier]]</f>
        <v>3980.0400000000004</v>
      </c>
      <c r="AA82" s="26">
        <v>0.3</v>
      </c>
      <c r="AB82" s="21" t="s">
        <v>18</v>
      </c>
      <c r="AC82" s="24">
        <f>(Table13[[#This Row],[New Gross Salary]]+Table13[[#This Row],[Final STI]])*Table13[[#This Row],[Tax %]]</f>
        <v>13134.132</v>
      </c>
      <c r="AD82" s="24">
        <f>Table13[[#This Row],[New Gross Salary]]*5%</f>
        <v>1990.0200000000002</v>
      </c>
      <c r="AE82" s="21" cm="1">
        <f t="array" ref="AE82">_xlfn.XLOOKUP(AB82,{"A","B","C"},{500,800,1200})</f>
        <v>500</v>
      </c>
      <c r="AF82" s="24">
        <f t="shared" si="3"/>
        <v>15624.152</v>
      </c>
      <c r="AG82" s="27">
        <f>Table13[[#This Row],[New Gross Salary]]+Table13[[#This Row],[Final STI]]-Table13[[#This Row],[Total Deductions
(Tax+Pension+HP)]]</f>
        <v>28156.288</v>
      </c>
    </row>
    <row r="83" spans="1:33" x14ac:dyDescent="0.2">
      <c r="A83" s="20">
        <v>1082</v>
      </c>
      <c r="B83" s="21" t="s">
        <v>94</v>
      </c>
      <c r="C83" s="21" t="s">
        <v>11</v>
      </c>
      <c r="D83" s="21" t="s">
        <v>529</v>
      </c>
      <c r="E83" s="22">
        <v>43831</v>
      </c>
      <c r="F83" s="21" t="s">
        <v>357</v>
      </c>
      <c r="G83" s="21" t="s">
        <v>523</v>
      </c>
      <c r="H83" s="21" t="s">
        <v>520</v>
      </c>
      <c r="I83" s="5" t="s">
        <v>661</v>
      </c>
      <c r="J83" s="21" t="s">
        <v>532</v>
      </c>
      <c r="K83" s="21" t="s">
        <v>539</v>
      </c>
      <c r="L83" s="23">
        <v>73097</v>
      </c>
      <c r="M83" s="23" t="s">
        <v>673</v>
      </c>
      <c r="N83" s="23">
        <v>55000</v>
      </c>
      <c r="O83" s="23">
        <v>75000</v>
      </c>
      <c r="P83" s="23">
        <v>85000</v>
      </c>
      <c r="Q83" s="24">
        <f>Table13[[#This Row],[Monthly Gross Salary]]/Table13[[#This Row],[Mid]]</f>
        <v>0.97462666666666664</v>
      </c>
      <c r="R83" s="23" t="str">
        <f t="shared" si="2"/>
        <v>Around Mid</v>
      </c>
      <c r="S83" s="23">
        <v>3</v>
      </c>
      <c r="T83" s="25">
        <f>INDEX('Merit Matrix'!$B$4:$F$8,
       MATCH($S83,'Merit Matrix'!$A$4:$A$8,0),
       MATCH(TRIM($R83),'Merit Matrix'!$B$3:$F$3,0))</f>
        <v>2.5000000000000001E-2</v>
      </c>
      <c r="U83" s="24">
        <f>Table13[[#This Row],[Salary increase %]]*Table13[[#This Row],[Monthly Gross Salary]]</f>
        <v>1827.4250000000002</v>
      </c>
      <c r="V83" s="23">
        <f>Table13[[#This Row],[Salary increase Amount]]+Table13[[#This Row],[Monthly Gross Salary]]</f>
        <v>74924.425000000003</v>
      </c>
      <c r="W83" s="75">
        <v>0.2</v>
      </c>
      <c r="X83" s="6">
        <f>Table13[[#This Row],[New Gross Salary]]*Table13[[#This Row],[STI %]]</f>
        <v>14984.885000000002</v>
      </c>
      <c r="Y83" s="96">
        <v>1</v>
      </c>
      <c r="Z83" s="6">
        <f>Table13[[#This Row],[Target STI]]*Table13[[#This Row],[Multiplier]]</f>
        <v>14984.885000000002</v>
      </c>
      <c r="AA83" s="26">
        <v>0.32</v>
      </c>
      <c r="AB83" s="21" t="s">
        <v>18</v>
      </c>
      <c r="AC83" s="24">
        <f>(Table13[[#This Row],[New Gross Salary]]+Table13[[#This Row],[Final STI]])*Table13[[#This Row],[Tax %]]</f>
        <v>28770.979200000002</v>
      </c>
      <c r="AD83" s="24">
        <f>Table13[[#This Row],[New Gross Salary]]*5%</f>
        <v>3746.2212500000005</v>
      </c>
      <c r="AE83" s="21" cm="1">
        <f t="array" ref="AE83">_xlfn.XLOOKUP(AB83,{"A","B","C"},{500,800,1200})</f>
        <v>500</v>
      </c>
      <c r="AF83" s="24">
        <f t="shared" si="3"/>
        <v>33017.200450000004</v>
      </c>
      <c r="AG83" s="27">
        <f>Table13[[#This Row],[New Gross Salary]]+Table13[[#This Row],[Final STI]]-Table13[[#This Row],[Total Deductions
(Tax+Pension+HP)]]</f>
        <v>56892.109549999994</v>
      </c>
    </row>
    <row r="84" spans="1:33" x14ac:dyDescent="0.2">
      <c r="A84" s="20">
        <v>1083</v>
      </c>
      <c r="B84" s="21" t="s">
        <v>95</v>
      </c>
      <c r="C84" s="21" t="s">
        <v>11</v>
      </c>
      <c r="D84" s="21" t="s">
        <v>529</v>
      </c>
      <c r="E84" s="22">
        <v>43831</v>
      </c>
      <c r="F84" s="21" t="s">
        <v>358</v>
      </c>
      <c r="G84" s="21" t="s">
        <v>523</v>
      </c>
      <c r="H84" s="21" t="s">
        <v>520</v>
      </c>
      <c r="I84" s="5" t="s">
        <v>661</v>
      </c>
      <c r="J84" s="21" t="s">
        <v>532</v>
      </c>
      <c r="K84" s="21" t="s">
        <v>539</v>
      </c>
      <c r="L84" s="23">
        <v>73097</v>
      </c>
      <c r="M84" s="23" t="s">
        <v>673</v>
      </c>
      <c r="N84" s="23">
        <v>55000</v>
      </c>
      <c r="O84" s="23">
        <v>75000</v>
      </c>
      <c r="P84" s="23">
        <v>85000</v>
      </c>
      <c r="Q84" s="24">
        <f>Table13[[#This Row],[Monthly Gross Salary]]/Table13[[#This Row],[Mid]]</f>
        <v>0.97462666666666664</v>
      </c>
      <c r="R84" s="23" t="str">
        <f t="shared" si="2"/>
        <v>Around Mid</v>
      </c>
      <c r="S84" s="23">
        <v>3</v>
      </c>
      <c r="T84" s="25">
        <f>INDEX('Merit Matrix'!$B$4:$F$8,
       MATCH($S84,'Merit Matrix'!$A$4:$A$8,0),
       MATCH(TRIM($R84),'Merit Matrix'!$B$3:$F$3,0))</f>
        <v>2.5000000000000001E-2</v>
      </c>
      <c r="U84" s="24">
        <f>Table13[[#This Row],[Salary increase %]]*Table13[[#This Row],[Monthly Gross Salary]]</f>
        <v>1827.4250000000002</v>
      </c>
      <c r="V84" s="23">
        <f>Table13[[#This Row],[Salary increase Amount]]+Table13[[#This Row],[Monthly Gross Salary]]</f>
        <v>74924.425000000003</v>
      </c>
      <c r="W84" s="75">
        <v>0.2</v>
      </c>
      <c r="X84" s="6">
        <f>Table13[[#This Row],[New Gross Salary]]*Table13[[#This Row],[STI %]]</f>
        <v>14984.885000000002</v>
      </c>
      <c r="Y84" s="96">
        <v>1</v>
      </c>
      <c r="Z84" s="6">
        <f>Table13[[#This Row],[Target STI]]*Table13[[#This Row],[Multiplier]]</f>
        <v>14984.885000000002</v>
      </c>
      <c r="AA84" s="26">
        <v>0.3</v>
      </c>
      <c r="AB84" s="21" t="s">
        <v>18</v>
      </c>
      <c r="AC84" s="24">
        <f>(Table13[[#This Row],[New Gross Salary]]+Table13[[#This Row],[Final STI]])*Table13[[#This Row],[Tax %]]</f>
        <v>26972.792999999998</v>
      </c>
      <c r="AD84" s="24">
        <f>Table13[[#This Row],[New Gross Salary]]*5%</f>
        <v>3746.2212500000005</v>
      </c>
      <c r="AE84" s="21" cm="1">
        <f t="array" ref="AE84">_xlfn.XLOOKUP(AB84,{"A","B","C"},{500,800,1200})</f>
        <v>500</v>
      </c>
      <c r="AF84" s="24">
        <f t="shared" si="3"/>
        <v>31219.01425</v>
      </c>
      <c r="AG84" s="27">
        <f>Table13[[#This Row],[New Gross Salary]]+Table13[[#This Row],[Final STI]]-Table13[[#This Row],[Total Deductions
(Tax+Pension+HP)]]</f>
        <v>58690.295749999997</v>
      </c>
    </row>
    <row r="85" spans="1:33" x14ac:dyDescent="0.2">
      <c r="A85" s="20">
        <v>1084</v>
      </c>
      <c r="B85" s="21" t="s">
        <v>96</v>
      </c>
      <c r="C85" s="21" t="s">
        <v>8</v>
      </c>
      <c r="D85" s="21" t="s">
        <v>542</v>
      </c>
      <c r="E85" s="22">
        <v>45292</v>
      </c>
      <c r="F85" s="21" t="s">
        <v>359</v>
      </c>
      <c r="G85" s="21" t="s">
        <v>523</v>
      </c>
      <c r="H85" s="21" t="s">
        <v>520</v>
      </c>
      <c r="I85" s="5" t="s">
        <v>661</v>
      </c>
      <c r="J85" s="21" t="s">
        <v>533</v>
      </c>
      <c r="K85" s="21" t="s">
        <v>537</v>
      </c>
      <c r="L85" s="23">
        <v>42254</v>
      </c>
      <c r="M85" s="23" t="s">
        <v>673</v>
      </c>
      <c r="N85" s="23">
        <v>35000</v>
      </c>
      <c r="O85" s="23">
        <v>40000</v>
      </c>
      <c r="P85" s="23">
        <v>45000</v>
      </c>
      <c r="Q85" s="24">
        <f>Table13[[#This Row],[Monthly Gross Salary]]/Table13[[#This Row],[Mid]]</f>
        <v>1.0563499999999999</v>
      </c>
      <c r="R85" s="23" t="str">
        <f t="shared" si="2"/>
        <v>Above Mid</v>
      </c>
      <c r="S85" s="23">
        <v>3</v>
      </c>
      <c r="T85" s="25">
        <f>INDEX('Merit Matrix'!$B$4:$F$8,
       MATCH($S85,'Merit Matrix'!$A$4:$A$8,0),
       MATCH(TRIM($R85),'Merit Matrix'!$B$3:$F$3,0))</f>
        <v>0.02</v>
      </c>
      <c r="U85" s="24">
        <f>Table13[[#This Row],[Salary increase %]]*Table13[[#This Row],[Monthly Gross Salary]]</f>
        <v>845.08</v>
      </c>
      <c r="V85" s="23">
        <f>Table13[[#This Row],[Salary increase Amount]]+Table13[[#This Row],[Monthly Gross Salary]]</f>
        <v>43099.08</v>
      </c>
      <c r="W85" s="75">
        <v>0.1</v>
      </c>
      <c r="X85" s="6">
        <f>Table13[[#This Row],[New Gross Salary]]*Table13[[#This Row],[STI %]]</f>
        <v>4309.9080000000004</v>
      </c>
      <c r="Y85" s="96">
        <v>1</v>
      </c>
      <c r="Z85" s="6">
        <f>Table13[[#This Row],[Target STI]]*Table13[[#This Row],[Multiplier]]</f>
        <v>4309.9080000000004</v>
      </c>
      <c r="AA85" s="26">
        <v>0.31</v>
      </c>
      <c r="AB85" s="21" t="s">
        <v>18</v>
      </c>
      <c r="AC85" s="24">
        <f>(Table13[[#This Row],[New Gross Salary]]+Table13[[#This Row],[Final STI]])*Table13[[#This Row],[Tax %]]</f>
        <v>14696.786280000002</v>
      </c>
      <c r="AD85" s="24">
        <f>Table13[[#This Row],[New Gross Salary]]*5%</f>
        <v>2154.9540000000002</v>
      </c>
      <c r="AE85" s="21" cm="1">
        <f t="array" ref="AE85">_xlfn.XLOOKUP(AB85,{"A","B","C"},{500,800,1200})</f>
        <v>500</v>
      </c>
      <c r="AF85" s="24">
        <f t="shared" si="3"/>
        <v>17351.740280000002</v>
      </c>
      <c r="AG85" s="27">
        <f>Table13[[#This Row],[New Gross Salary]]+Table13[[#This Row],[Final STI]]-Table13[[#This Row],[Total Deductions
(Tax+Pension+HP)]]</f>
        <v>30057.247720000003</v>
      </c>
    </row>
    <row r="86" spans="1:33" x14ac:dyDescent="0.2">
      <c r="A86" s="20">
        <v>1085</v>
      </c>
      <c r="B86" s="21" t="s">
        <v>97</v>
      </c>
      <c r="C86" s="21" t="s">
        <v>5</v>
      </c>
      <c r="D86" s="21" t="s">
        <v>549</v>
      </c>
      <c r="E86" s="22">
        <v>45292</v>
      </c>
      <c r="F86" s="21" t="s">
        <v>360</v>
      </c>
      <c r="G86" s="21" t="s">
        <v>523</v>
      </c>
      <c r="H86" s="21" t="s">
        <v>520</v>
      </c>
      <c r="I86" s="5" t="s">
        <v>661</v>
      </c>
      <c r="J86" s="21" t="s">
        <v>535</v>
      </c>
      <c r="K86" s="21" t="s">
        <v>538</v>
      </c>
      <c r="L86" s="23">
        <v>45304</v>
      </c>
      <c r="M86" s="23" t="s">
        <v>673</v>
      </c>
      <c r="N86" s="23">
        <v>38000</v>
      </c>
      <c r="O86" s="23">
        <v>50000</v>
      </c>
      <c r="P86" s="23">
        <v>56000</v>
      </c>
      <c r="Q86" s="24">
        <f>Table13[[#This Row],[Monthly Gross Salary]]/Table13[[#This Row],[Mid]]</f>
        <v>0.90608</v>
      </c>
      <c r="R86" s="23" t="str">
        <f t="shared" si="2"/>
        <v>Below Mid</v>
      </c>
      <c r="S86" s="23">
        <v>3</v>
      </c>
      <c r="T86" s="25">
        <f>INDEX('Merit Matrix'!$B$4:$F$8,
       MATCH($S86,'Merit Matrix'!$A$4:$A$8,0),
       MATCH(TRIM($R86),'Merit Matrix'!$B$3:$F$3,0))</f>
        <v>0.03</v>
      </c>
      <c r="U86" s="24">
        <f>Table13[[#This Row],[Salary increase %]]*Table13[[#This Row],[Monthly Gross Salary]]</f>
        <v>1359.12</v>
      </c>
      <c r="V86" s="23">
        <f>Table13[[#This Row],[Salary increase Amount]]+Table13[[#This Row],[Monthly Gross Salary]]</f>
        <v>46663.12</v>
      </c>
      <c r="W86" s="75">
        <v>0.15</v>
      </c>
      <c r="X86" s="6">
        <f>Table13[[#This Row],[New Gross Salary]]*Table13[[#This Row],[STI %]]</f>
        <v>6999.4679999999998</v>
      </c>
      <c r="Y86" s="96">
        <v>1</v>
      </c>
      <c r="Z86" s="6">
        <f>Table13[[#This Row],[Target STI]]*Table13[[#This Row],[Multiplier]]</f>
        <v>6999.4679999999998</v>
      </c>
      <c r="AA86" s="26">
        <v>0.27</v>
      </c>
      <c r="AB86" s="21" t="s">
        <v>9</v>
      </c>
      <c r="AC86" s="24">
        <f>(Table13[[#This Row],[New Gross Salary]]+Table13[[#This Row],[Final STI]])*Table13[[#This Row],[Tax %]]</f>
        <v>14488.898760000002</v>
      </c>
      <c r="AD86" s="24">
        <f>Table13[[#This Row],[New Gross Salary]]*5%</f>
        <v>2333.1560000000004</v>
      </c>
      <c r="AE86" s="21" cm="1">
        <f t="array" ref="AE86">_xlfn.XLOOKUP(AB86,{"A","B","C"},{500,800,1200})</f>
        <v>800</v>
      </c>
      <c r="AF86" s="24">
        <f t="shared" si="3"/>
        <v>17622.054760000003</v>
      </c>
      <c r="AG86" s="27">
        <f>Table13[[#This Row],[New Gross Salary]]+Table13[[#This Row],[Final STI]]-Table13[[#This Row],[Total Deductions
(Tax+Pension+HP)]]</f>
        <v>36040.533240000004</v>
      </c>
    </row>
    <row r="87" spans="1:33" x14ac:dyDescent="0.2">
      <c r="A87" s="20">
        <v>1086</v>
      </c>
      <c r="B87" s="21" t="s">
        <v>98</v>
      </c>
      <c r="C87" s="21" t="s">
        <v>5</v>
      </c>
      <c r="D87" s="21" t="s">
        <v>549</v>
      </c>
      <c r="E87" s="22">
        <v>45292</v>
      </c>
      <c r="F87" s="21" t="s">
        <v>361</v>
      </c>
      <c r="G87" s="21" t="s">
        <v>523</v>
      </c>
      <c r="H87" s="21" t="s">
        <v>520</v>
      </c>
      <c r="I87" s="5" t="s">
        <v>661</v>
      </c>
      <c r="J87" s="21" t="s">
        <v>535</v>
      </c>
      <c r="K87" s="21" t="s">
        <v>538</v>
      </c>
      <c r="L87" s="23">
        <v>45304</v>
      </c>
      <c r="M87" s="23" t="s">
        <v>673</v>
      </c>
      <c r="N87" s="23">
        <v>38000</v>
      </c>
      <c r="O87" s="23">
        <v>50000</v>
      </c>
      <c r="P87" s="23">
        <v>56000</v>
      </c>
      <c r="Q87" s="24">
        <f>Table13[[#This Row],[Monthly Gross Salary]]/Table13[[#This Row],[Mid]]</f>
        <v>0.90608</v>
      </c>
      <c r="R87" s="23" t="str">
        <f t="shared" si="2"/>
        <v>Below Mid</v>
      </c>
      <c r="S87" s="23">
        <v>3</v>
      </c>
      <c r="T87" s="25">
        <f>INDEX('Merit Matrix'!$B$4:$F$8,
       MATCH($S87,'Merit Matrix'!$A$4:$A$8,0),
       MATCH(TRIM($R87),'Merit Matrix'!$B$3:$F$3,0))</f>
        <v>0.03</v>
      </c>
      <c r="U87" s="24">
        <f>Table13[[#This Row],[Salary increase %]]*Table13[[#This Row],[Monthly Gross Salary]]</f>
        <v>1359.12</v>
      </c>
      <c r="V87" s="23">
        <f>Table13[[#This Row],[Salary increase Amount]]+Table13[[#This Row],[Monthly Gross Salary]]</f>
        <v>46663.12</v>
      </c>
      <c r="W87" s="75">
        <v>0.15</v>
      </c>
      <c r="X87" s="6">
        <f>Table13[[#This Row],[New Gross Salary]]*Table13[[#This Row],[STI %]]</f>
        <v>6999.4679999999998</v>
      </c>
      <c r="Y87" s="96">
        <v>1</v>
      </c>
      <c r="Z87" s="6">
        <f>Table13[[#This Row],[Target STI]]*Table13[[#This Row],[Multiplier]]</f>
        <v>6999.4679999999998</v>
      </c>
      <c r="AA87" s="26">
        <v>0.28999999999999998</v>
      </c>
      <c r="AB87" s="21" t="s">
        <v>6</v>
      </c>
      <c r="AC87" s="24">
        <f>(Table13[[#This Row],[New Gross Salary]]+Table13[[#This Row],[Final STI]])*Table13[[#This Row],[Tax %]]</f>
        <v>15562.150519999999</v>
      </c>
      <c r="AD87" s="24">
        <f>Table13[[#This Row],[New Gross Salary]]*5%</f>
        <v>2333.1560000000004</v>
      </c>
      <c r="AE87" s="21" cm="1">
        <f t="array" ref="AE87">_xlfn.XLOOKUP(AB87,{"A","B","C"},{500,800,1200})</f>
        <v>1200</v>
      </c>
      <c r="AF87" s="24">
        <f t="shared" si="3"/>
        <v>19095.306519999998</v>
      </c>
      <c r="AG87" s="27">
        <f>Table13[[#This Row],[New Gross Salary]]+Table13[[#This Row],[Final STI]]-Table13[[#This Row],[Total Deductions
(Tax+Pension+HP)]]</f>
        <v>34567.281480000005</v>
      </c>
    </row>
    <row r="88" spans="1:33" x14ac:dyDescent="0.2">
      <c r="A88" s="20">
        <v>1087</v>
      </c>
      <c r="B88" s="21" t="s">
        <v>99</v>
      </c>
      <c r="C88" s="21" t="s">
        <v>11</v>
      </c>
      <c r="D88" s="21" t="s">
        <v>529</v>
      </c>
      <c r="E88" s="22">
        <v>43831</v>
      </c>
      <c r="F88" s="21" t="s">
        <v>362</v>
      </c>
      <c r="G88" s="21" t="s">
        <v>523</v>
      </c>
      <c r="H88" s="21" t="s">
        <v>520</v>
      </c>
      <c r="I88" s="5" t="s">
        <v>661</v>
      </c>
      <c r="J88" s="21" t="s">
        <v>532</v>
      </c>
      <c r="K88" s="21" t="s">
        <v>539</v>
      </c>
      <c r="L88" s="23">
        <v>73097</v>
      </c>
      <c r="M88" s="23" t="s">
        <v>673</v>
      </c>
      <c r="N88" s="23">
        <v>55000</v>
      </c>
      <c r="O88" s="23">
        <v>75000</v>
      </c>
      <c r="P88" s="23">
        <v>85000</v>
      </c>
      <c r="Q88" s="24">
        <f>Table13[[#This Row],[Monthly Gross Salary]]/Table13[[#This Row],[Mid]]</f>
        <v>0.97462666666666664</v>
      </c>
      <c r="R88" s="23" t="str">
        <f t="shared" si="2"/>
        <v>Around Mid</v>
      </c>
      <c r="S88" s="23">
        <v>3</v>
      </c>
      <c r="T88" s="25">
        <f>INDEX('Merit Matrix'!$B$4:$F$8,
       MATCH($S88,'Merit Matrix'!$A$4:$A$8,0),
       MATCH(TRIM($R88),'Merit Matrix'!$B$3:$F$3,0))</f>
        <v>2.5000000000000001E-2</v>
      </c>
      <c r="U88" s="24">
        <f>Table13[[#This Row],[Salary increase %]]*Table13[[#This Row],[Monthly Gross Salary]]</f>
        <v>1827.4250000000002</v>
      </c>
      <c r="V88" s="23">
        <f>Table13[[#This Row],[Salary increase Amount]]+Table13[[#This Row],[Monthly Gross Salary]]</f>
        <v>74924.425000000003</v>
      </c>
      <c r="W88" s="75">
        <v>0.2</v>
      </c>
      <c r="X88" s="6">
        <f>Table13[[#This Row],[New Gross Salary]]*Table13[[#This Row],[STI %]]</f>
        <v>14984.885000000002</v>
      </c>
      <c r="Y88" s="96">
        <v>1</v>
      </c>
      <c r="Z88" s="6">
        <f>Table13[[#This Row],[Target STI]]*Table13[[#This Row],[Multiplier]]</f>
        <v>14984.885000000002</v>
      </c>
      <c r="AA88" s="26">
        <v>0.31</v>
      </c>
      <c r="AB88" s="21" t="s">
        <v>18</v>
      </c>
      <c r="AC88" s="24">
        <f>(Table13[[#This Row],[New Gross Salary]]+Table13[[#This Row],[Final STI]])*Table13[[#This Row],[Tax %]]</f>
        <v>27871.8861</v>
      </c>
      <c r="AD88" s="24">
        <f>Table13[[#This Row],[New Gross Salary]]*5%</f>
        <v>3746.2212500000005</v>
      </c>
      <c r="AE88" s="21" cm="1">
        <f t="array" ref="AE88">_xlfn.XLOOKUP(AB88,{"A","B","C"},{500,800,1200})</f>
        <v>500</v>
      </c>
      <c r="AF88" s="24">
        <f t="shared" si="3"/>
        <v>32118.107349999998</v>
      </c>
      <c r="AG88" s="27">
        <f>Table13[[#This Row],[New Gross Salary]]+Table13[[#This Row],[Final STI]]-Table13[[#This Row],[Total Deductions
(Tax+Pension+HP)]]</f>
        <v>57791.202649999999</v>
      </c>
    </row>
    <row r="89" spans="1:33" x14ac:dyDescent="0.2">
      <c r="A89" s="20">
        <v>1088</v>
      </c>
      <c r="B89" s="21" t="s">
        <v>100</v>
      </c>
      <c r="C89" s="21" t="s">
        <v>42</v>
      </c>
      <c r="D89" s="21" t="s">
        <v>555</v>
      </c>
      <c r="E89" s="22">
        <v>44562</v>
      </c>
      <c r="F89" s="21" t="s">
        <v>363</v>
      </c>
      <c r="G89" s="21" t="s">
        <v>524</v>
      </c>
      <c r="H89" s="21" t="s">
        <v>520</v>
      </c>
      <c r="I89" s="5" t="s">
        <v>661</v>
      </c>
      <c r="J89" s="21" t="s">
        <v>533</v>
      </c>
      <c r="K89" s="21" t="s">
        <v>536</v>
      </c>
      <c r="L89" s="23">
        <v>39020</v>
      </c>
      <c r="M89" s="23" t="s">
        <v>673</v>
      </c>
      <c r="N89" s="23">
        <v>30000</v>
      </c>
      <c r="O89" s="23">
        <v>35000</v>
      </c>
      <c r="P89" s="23">
        <v>40000</v>
      </c>
      <c r="Q89" s="24">
        <f>Table13[[#This Row],[Monthly Gross Salary]]/Table13[[#This Row],[Mid]]</f>
        <v>1.1148571428571428</v>
      </c>
      <c r="R89" s="23" t="str">
        <f t="shared" si="2"/>
        <v>Above Mid</v>
      </c>
      <c r="S89" s="23">
        <v>3</v>
      </c>
      <c r="T89" s="25">
        <f>INDEX('Merit Matrix'!$B$4:$F$8,
       MATCH($S89,'Merit Matrix'!$A$4:$A$8,0),
       MATCH(TRIM($R89),'Merit Matrix'!$B$3:$F$3,0))</f>
        <v>0.02</v>
      </c>
      <c r="U89" s="24">
        <f>Table13[[#This Row],[Salary increase %]]*Table13[[#This Row],[Monthly Gross Salary]]</f>
        <v>780.4</v>
      </c>
      <c r="V89" s="23">
        <f>Table13[[#This Row],[Salary increase Amount]]+Table13[[#This Row],[Monthly Gross Salary]]</f>
        <v>39800.400000000001</v>
      </c>
      <c r="W89" s="75">
        <v>0.1</v>
      </c>
      <c r="X89" s="6">
        <f>Table13[[#This Row],[New Gross Salary]]*Table13[[#This Row],[STI %]]</f>
        <v>3980.0400000000004</v>
      </c>
      <c r="Y89" s="96">
        <v>1</v>
      </c>
      <c r="Z89" s="6">
        <f>Table13[[#This Row],[Target STI]]*Table13[[#This Row],[Multiplier]]</f>
        <v>3980.0400000000004</v>
      </c>
      <c r="AA89" s="26">
        <v>0.3</v>
      </c>
      <c r="AB89" s="21" t="s">
        <v>9</v>
      </c>
      <c r="AC89" s="24">
        <f>(Table13[[#This Row],[New Gross Salary]]+Table13[[#This Row],[Final STI]])*Table13[[#This Row],[Tax %]]</f>
        <v>13134.132</v>
      </c>
      <c r="AD89" s="24">
        <f>Table13[[#This Row],[New Gross Salary]]*5%</f>
        <v>1990.0200000000002</v>
      </c>
      <c r="AE89" s="21" cm="1">
        <f t="array" ref="AE89">_xlfn.XLOOKUP(AB89,{"A","B","C"},{500,800,1200})</f>
        <v>800</v>
      </c>
      <c r="AF89" s="24">
        <f t="shared" si="3"/>
        <v>15924.152</v>
      </c>
      <c r="AG89" s="27">
        <f>Table13[[#This Row],[New Gross Salary]]+Table13[[#This Row],[Final STI]]-Table13[[#This Row],[Total Deductions
(Tax+Pension+HP)]]</f>
        <v>27856.288</v>
      </c>
    </row>
    <row r="90" spans="1:33" x14ac:dyDescent="0.2">
      <c r="A90" s="20">
        <v>1089</v>
      </c>
      <c r="B90" s="21" t="s">
        <v>101</v>
      </c>
      <c r="C90" s="21" t="s">
        <v>5</v>
      </c>
      <c r="D90" s="21" t="s">
        <v>549</v>
      </c>
      <c r="E90" s="22">
        <v>45292</v>
      </c>
      <c r="F90" s="21" t="s">
        <v>364</v>
      </c>
      <c r="G90" s="21" t="s">
        <v>523</v>
      </c>
      <c r="H90" s="21" t="s">
        <v>520</v>
      </c>
      <c r="I90" s="5" t="s">
        <v>661</v>
      </c>
      <c r="J90" s="21" t="s">
        <v>535</v>
      </c>
      <c r="K90" s="21" t="s">
        <v>538</v>
      </c>
      <c r="L90" s="23">
        <v>45304</v>
      </c>
      <c r="M90" s="23" t="s">
        <v>673</v>
      </c>
      <c r="N90" s="23">
        <v>38000</v>
      </c>
      <c r="O90" s="23">
        <v>50000</v>
      </c>
      <c r="P90" s="23">
        <v>56000</v>
      </c>
      <c r="Q90" s="24">
        <f>Table13[[#This Row],[Monthly Gross Salary]]/Table13[[#This Row],[Mid]]</f>
        <v>0.90608</v>
      </c>
      <c r="R90" s="23" t="str">
        <f t="shared" si="2"/>
        <v>Below Mid</v>
      </c>
      <c r="S90" s="23">
        <v>3</v>
      </c>
      <c r="T90" s="25">
        <f>INDEX('Merit Matrix'!$B$4:$F$8,
       MATCH($S90,'Merit Matrix'!$A$4:$A$8,0),
       MATCH(TRIM($R90),'Merit Matrix'!$B$3:$F$3,0))</f>
        <v>0.03</v>
      </c>
      <c r="U90" s="24">
        <f>Table13[[#This Row],[Salary increase %]]*Table13[[#This Row],[Monthly Gross Salary]]</f>
        <v>1359.12</v>
      </c>
      <c r="V90" s="23">
        <f>Table13[[#This Row],[Salary increase Amount]]+Table13[[#This Row],[Monthly Gross Salary]]</f>
        <v>46663.12</v>
      </c>
      <c r="W90" s="75">
        <v>0.15</v>
      </c>
      <c r="X90" s="6">
        <f>Table13[[#This Row],[New Gross Salary]]*Table13[[#This Row],[STI %]]</f>
        <v>6999.4679999999998</v>
      </c>
      <c r="Y90" s="96">
        <v>1</v>
      </c>
      <c r="Z90" s="6">
        <f>Table13[[#This Row],[Target STI]]*Table13[[#This Row],[Multiplier]]</f>
        <v>6999.4679999999998</v>
      </c>
      <c r="AA90" s="26">
        <v>0.28000000000000003</v>
      </c>
      <c r="AB90" s="21" t="s">
        <v>6</v>
      </c>
      <c r="AC90" s="24">
        <f>(Table13[[#This Row],[New Gross Salary]]+Table13[[#This Row],[Final STI]])*Table13[[#This Row],[Tax %]]</f>
        <v>15025.524640000003</v>
      </c>
      <c r="AD90" s="24">
        <f>Table13[[#This Row],[New Gross Salary]]*5%</f>
        <v>2333.1560000000004</v>
      </c>
      <c r="AE90" s="21" cm="1">
        <f t="array" ref="AE90">_xlfn.XLOOKUP(AB90,{"A","B","C"},{500,800,1200})</f>
        <v>1200</v>
      </c>
      <c r="AF90" s="24">
        <f t="shared" si="3"/>
        <v>18558.680640000002</v>
      </c>
      <c r="AG90" s="27">
        <f>Table13[[#This Row],[New Gross Salary]]+Table13[[#This Row],[Final STI]]-Table13[[#This Row],[Total Deductions
(Tax+Pension+HP)]]</f>
        <v>35103.907359999997</v>
      </c>
    </row>
    <row r="91" spans="1:33" x14ac:dyDescent="0.2">
      <c r="A91" s="20">
        <v>1090</v>
      </c>
      <c r="B91" s="21" t="s">
        <v>102</v>
      </c>
      <c r="C91" s="21" t="s">
        <v>42</v>
      </c>
      <c r="D91" s="21" t="s">
        <v>555</v>
      </c>
      <c r="E91" s="22">
        <v>44562</v>
      </c>
      <c r="F91" s="21" t="s">
        <v>365</v>
      </c>
      <c r="G91" s="21" t="s">
        <v>524</v>
      </c>
      <c r="H91" s="21" t="s">
        <v>520</v>
      </c>
      <c r="I91" s="5" t="s">
        <v>661</v>
      </c>
      <c r="J91" s="21" t="s">
        <v>533</v>
      </c>
      <c r="K91" s="21" t="s">
        <v>536</v>
      </c>
      <c r="L91" s="23">
        <v>39020</v>
      </c>
      <c r="M91" s="23" t="s">
        <v>673</v>
      </c>
      <c r="N91" s="23">
        <v>30000</v>
      </c>
      <c r="O91" s="23">
        <v>35000</v>
      </c>
      <c r="P91" s="23">
        <v>40000</v>
      </c>
      <c r="Q91" s="24">
        <f>Table13[[#This Row],[Monthly Gross Salary]]/Table13[[#This Row],[Mid]]</f>
        <v>1.1148571428571428</v>
      </c>
      <c r="R91" s="23" t="str">
        <f t="shared" si="2"/>
        <v>Above Mid</v>
      </c>
      <c r="S91" s="23">
        <v>3</v>
      </c>
      <c r="T91" s="25">
        <f>INDEX('Merit Matrix'!$B$4:$F$8,
       MATCH($S91,'Merit Matrix'!$A$4:$A$8,0),
       MATCH(TRIM($R91),'Merit Matrix'!$B$3:$F$3,0))</f>
        <v>0.02</v>
      </c>
      <c r="U91" s="24">
        <f>Table13[[#This Row],[Salary increase %]]*Table13[[#This Row],[Monthly Gross Salary]]</f>
        <v>780.4</v>
      </c>
      <c r="V91" s="23">
        <f>Table13[[#This Row],[Salary increase Amount]]+Table13[[#This Row],[Monthly Gross Salary]]</f>
        <v>39800.400000000001</v>
      </c>
      <c r="W91" s="75">
        <v>0.1</v>
      </c>
      <c r="X91" s="6">
        <f>Table13[[#This Row],[New Gross Salary]]*Table13[[#This Row],[STI %]]</f>
        <v>3980.0400000000004</v>
      </c>
      <c r="Y91" s="96">
        <v>1</v>
      </c>
      <c r="Z91" s="6">
        <f>Table13[[#This Row],[Target STI]]*Table13[[#This Row],[Multiplier]]</f>
        <v>3980.0400000000004</v>
      </c>
      <c r="AA91" s="26">
        <v>0.31</v>
      </c>
      <c r="AB91" s="21" t="s">
        <v>6</v>
      </c>
      <c r="AC91" s="24">
        <f>(Table13[[#This Row],[New Gross Salary]]+Table13[[#This Row],[Final STI]])*Table13[[#This Row],[Tax %]]</f>
        <v>13571.936400000001</v>
      </c>
      <c r="AD91" s="24">
        <f>Table13[[#This Row],[New Gross Salary]]*5%</f>
        <v>1990.0200000000002</v>
      </c>
      <c r="AE91" s="21" cm="1">
        <f t="array" ref="AE91">_xlfn.XLOOKUP(AB91,{"A","B","C"},{500,800,1200})</f>
        <v>1200</v>
      </c>
      <c r="AF91" s="24">
        <f t="shared" si="3"/>
        <v>16761.956400000003</v>
      </c>
      <c r="AG91" s="27">
        <f>Table13[[#This Row],[New Gross Salary]]+Table13[[#This Row],[Final STI]]-Table13[[#This Row],[Total Deductions
(Tax+Pension+HP)]]</f>
        <v>27018.4836</v>
      </c>
    </row>
    <row r="92" spans="1:33" x14ac:dyDescent="0.2">
      <c r="A92" s="20">
        <v>1091</v>
      </c>
      <c r="B92" s="21" t="s">
        <v>103</v>
      </c>
      <c r="C92" s="21" t="s">
        <v>14</v>
      </c>
      <c r="D92" s="21" t="s">
        <v>628</v>
      </c>
      <c r="E92" s="22">
        <v>45292</v>
      </c>
      <c r="F92" s="21" t="s">
        <v>366</v>
      </c>
      <c r="G92" s="21" t="s">
        <v>523</v>
      </c>
      <c r="H92" s="21" t="s">
        <v>520</v>
      </c>
      <c r="I92" s="5" t="s">
        <v>661</v>
      </c>
      <c r="J92" s="21" t="s">
        <v>535</v>
      </c>
      <c r="K92" s="21" t="s">
        <v>538</v>
      </c>
      <c r="L92" s="23">
        <v>45304</v>
      </c>
      <c r="M92" s="23" t="s">
        <v>673</v>
      </c>
      <c r="N92" s="23">
        <v>38000</v>
      </c>
      <c r="O92" s="23">
        <v>50000</v>
      </c>
      <c r="P92" s="23">
        <v>56000</v>
      </c>
      <c r="Q92" s="24">
        <f>Table13[[#This Row],[Monthly Gross Salary]]/Table13[[#This Row],[Mid]]</f>
        <v>0.90608</v>
      </c>
      <c r="R92" s="23" t="str">
        <f t="shared" si="2"/>
        <v>Below Mid</v>
      </c>
      <c r="S92" s="23">
        <v>3</v>
      </c>
      <c r="T92" s="25">
        <f>INDEX('Merit Matrix'!$B$4:$F$8,
       MATCH($S92,'Merit Matrix'!$A$4:$A$8,0),
       MATCH(TRIM($R92),'Merit Matrix'!$B$3:$F$3,0))</f>
        <v>0.03</v>
      </c>
      <c r="U92" s="24">
        <f>Table13[[#This Row],[Salary increase %]]*Table13[[#This Row],[Monthly Gross Salary]]</f>
        <v>1359.12</v>
      </c>
      <c r="V92" s="23">
        <f>Table13[[#This Row],[Salary increase Amount]]+Table13[[#This Row],[Monthly Gross Salary]]</f>
        <v>46663.12</v>
      </c>
      <c r="W92" s="75">
        <v>0.15</v>
      </c>
      <c r="X92" s="6">
        <f>Table13[[#This Row],[New Gross Salary]]*Table13[[#This Row],[STI %]]</f>
        <v>6999.4679999999998</v>
      </c>
      <c r="Y92" s="96">
        <v>1</v>
      </c>
      <c r="Z92" s="6">
        <f>Table13[[#This Row],[Target STI]]*Table13[[#This Row],[Multiplier]]</f>
        <v>6999.4679999999998</v>
      </c>
      <c r="AA92" s="26">
        <v>0.27</v>
      </c>
      <c r="AB92" s="21" t="s">
        <v>9</v>
      </c>
      <c r="AC92" s="24">
        <f>(Table13[[#This Row],[New Gross Salary]]+Table13[[#This Row],[Final STI]])*Table13[[#This Row],[Tax %]]</f>
        <v>14488.898760000002</v>
      </c>
      <c r="AD92" s="24">
        <f>Table13[[#This Row],[New Gross Salary]]*5%</f>
        <v>2333.1560000000004</v>
      </c>
      <c r="AE92" s="21" cm="1">
        <f t="array" ref="AE92">_xlfn.XLOOKUP(AB92,{"A","B","C"},{500,800,1200})</f>
        <v>800</v>
      </c>
      <c r="AF92" s="24">
        <f t="shared" si="3"/>
        <v>17622.054760000003</v>
      </c>
      <c r="AG92" s="27">
        <f>Table13[[#This Row],[New Gross Salary]]+Table13[[#This Row],[Final STI]]-Table13[[#This Row],[Total Deductions
(Tax+Pension+HP)]]</f>
        <v>36040.533240000004</v>
      </c>
    </row>
    <row r="93" spans="1:33" x14ac:dyDescent="0.2">
      <c r="A93" s="20">
        <v>1092</v>
      </c>
      <c r="B93" s="21" t="s">
        <v>104</v>
      </c>
      <c r="C93" s="21" t="s">
        <v>5</v>
      </c>
      <c r="D93" s="21" t="s">
        <v>549</v>
      </c>
      <c r="E93" s="22">
        <v>45292</v>
      </c>
      <c r="F93" s="21" t="s">
        <v>367</v>
      </c>
      <c r="G93" s="21" t="s">
        <v>523</v>
      </c>
      <c r="H93" s="21" t="s">
        <v>520</v>
      </c>
      <c r="I93" s="5" t="s">
        <v>661</v>
      </c>
      <c r="J93" s="21" t="s">
        <v>535</v>
      </c>
      <c r="K93" s="21" t="s">
        <v>538</v>
      </c>
      <c r="L93" s="23">
        <v>45304</v>
      </c>
      <c r="M93" s="23" t="s">
        <v>673</v>
      </c>
      <c r="N93" s="23">
        <v>38000</v>
      </c>
      <c r="O93" s="23">
        <v>50000</v>
      </c>
      <c r="P93" s="23">
        <v>56000</v>
      </c>
      <c r="Q93" s="24">
        <f>Table13[[#This Row],[Monthly Gross Salary]]/Table13[[#This Row],[Mid]]</f>
        <v>0.90608</v>
      </c>
      <c r="R93" s="23" t="str">
        <f t="shared" si="2"/>
        <v>Below Mid</v>
      </c>
      <c r="S93" s="23">
        <v>3</v>
      </c>
      <c r="T93" s="25">
        <f>INDEX('Merit Matrix'!$B$4:$F$8,
       MATCH($S93,'Merit Matrix'!$A$4:$A$8,0),
       MATCH(TRIM($R93),'Merit Matrix'!$B$3:$F$3,0))</f>
        <v>0.03</v>
      </c>
      <c r="U93" s="24">
        <f>Table13[[#This Row],[Salary increase %]]*Table13[[#This Row],[Monthly Gross Salary]]</f>
        <v>1359.12</v>
      </c>
      <c r="V93" s="23">
        <f>Table13[[#This Row],[Salary increase Amount]]+Table13[[#This Row],[Monthly Gross Salary]]</f>
        <v>46663.12</v>
      </c>
      <c r="W93" s="75">
        <v>0.15</v>
      </c>
      <c r="X93" s="6">
        <f>Table13[[#This Row],[New Gross Salary]]*Table13[[#This Row],[STI %]]</f>
        <v>6999.4679999999998</v>
      </c>
      <c r="Y93" s="96">
        <v>1</v>
      </c>
      <c r="Z93" s="6">
        <f>Table13[[#This Row],[Target STI]]*Table13[[#This Row],[Multiplier]]</f>
        <v>6999.4679999999998</v>
      </c>
      <c r="AA93" s="26">
        <v>0.32</v>
      </c>
      <c r="AB93" s="21" t="s">
        <v>6</v>
      </c>
      <c r="AC93" s="24">
        <f>(Table13[[#This Row],[New Gross Salary]]+Table13[[#This Row],[Final STI]])*Table13[[#This Row],[Tax %]]</f>
        <v>17172.028160000002</v>
      </c>
      <c r="AD93" s="24">
        <f>Table13[[#This Row],[New Gross Salary]]*5%</f>
        <v>2333.1560000000004</v>
      </c>
      <c r="AE93" s="21" cm="1">
        <f t="array" ref="AE93">_xlfn.XLOOKUP(AB93,{"A","B","C"},{500,800,1200})</f>
        <v>1200</v>
      </c>
      <c r="AF93" s="24">
        <f t="shared" si="3"/>
        <v>20705.184160000001</v>
      </c>
      <c r="AG93" s="27">
        <f>Table13[[#This Row],[New Gross Salary]]+Table13[[#This Row],[Final STI]]-Table13[[#This Row],[Total Deductions
(Tax+Pension+HP)]]</f>
        <v>32957.403839999999</v>
      </c>
    </row>
    <row r="94" spans="1:33" x14ac:dyDescent="0.2">
      <c r="A94" s="20">
        <v>1093</v>
      </c>
      <c r="B94" s="21" t="s">
        <v>105</v>
      </c>
      <c r="C94" s="21" t="s">
        <v>42</v>
      </c>
      <c r="D94" s="21" t="s">
        <v>555</v>
      </c>
      <c r="E94" s="22">
        <v>44562</v>
      </c>
      <c r="F94" s="21" t="s">
        <v>368</v>
      </c>
      <c r="G94" s="21" t="s">
        <v>524</v>
      </c>
      <c r="H94" s="21" t="s">
        <v>520</v>
      </c>
      <c r="I94" s="5" t="s">
        <v>661</v>
      </c>
      <c r="J94" s="21" t="s">
        <v>533</v>
      </c>
      <c r="K94" s="21" t="s">
        <v>536</v>
      </c>
      <c r="L94" s="23">
        <v>39020</v>
      </c>
      <c r="M94" s="23" t="s">
        <v>673</v>
      </c>
      <c r="N94" s="23">
        <v>30000</v>
      </c>
      <c r="O94" s="23">
        <v>35000</v>
      </c>
      <c r="P94" s="23">
        <v>40000</v>
      </c>
      <c r="Q94" s="24">
        <f>Table13[[#This Row],[Monthly Gross Salary]]/Table13[[#This Row],[Mid]]</f>
        <v>1.1148571428571428</v>
      </c>
      <c r="R94" s="23" t="str">
        <f t="shared" si="2"/>
        <v>Above Mid</v>
      </c>
      <c r="S94" s="23">
        <v>3</v>
      </c>
      <c r="T94" s="25">
        <f>INDEX('Merit Matrix'!$B$4:$F$8,
       MATCH($S94,'Merit Matrix'!$A$4:$A$8,0),
       MATCH(TRIM($R94),'Merit Matrix'!$B$3:$F$3,0))</f>
        <v>0.02</v>
      </c>
      <c r="U94" s="24">
        <f>Table13[[#This Row],[Salary increase %]]*Table13[[#This Row],[Monthly Gross Salary]]</f>
        <v>780.4</v>
      </c>
      <c r="V94" s="23">
        <f>Table13[[#This Row],[Salary increase Amount]]+Table13[[#This Row],[Monthly Gross Salary]]</f>
        <v>39800.400000000001</v>
      </c>
      <c r="W94" s="75">
        <v>0.1</v>
      </c>
      <c r="X94" s="6">
        <f>Table13[[#This Row],[New Gross Salary]]*Table13[[#This Row],[STI %]]</f>
        <v>3980.0400000000004</v>
      </c>
      <c r="Y94" s="96">
        <v>1</v>
      </c>
      <c r="Z94" s="6">
        <f>Table13[[#This Row],[Target STI]]*Table13[[#This Row],[Multiplier]]</f>
        <v>3980.0400000000004</v>
      </c>
      <c r="AA94" s="26">
        <v>0.32</v>
      </c>
      <c r="AB94" s="21" t="s">
        <v>9</v>
      </c>
      <c r="AC94" s="24">
        <f>(Table13[[#This Row],[New Gross Salary]]+Table13[[#This Row],[Final STI]])*Table13[[#This Row],[Tax %]]</f>
        <v>14009.740800000001</v>
      </c>
      <c r="AD94" s="24">
        <f>Table13[[#This Row],[New Gross Salary]]*5%</f>
        <v>1990.0200000000002</v>
      </c>
      <c r="AE94" s="21" cm="1">
        <f t="array" ref="AE94">_xlfn.XLOOKUP(AB94,{"A","B","C"},{500,800,1200})</f>
        <v>800</v>
      </c>
      <c r="AF94" s="24">
        <f t="shared" si="3"/>
        <v>16799.760800000004</v>
      </c>
      <c r="AG94" s="27">
        <f>Table13[[#This Row],[New Gross Salary]]+Table13[[#This Row],[Final STI]]-Table13[[#This Row],[Total Deductions
(Tax+Pension+HP)]]</f>
        <v>26980.679199999999</v>
      </c>
    </row>
    <row r="95" spans="1:33" x14ac:dyDescent="0.2">
      <c r="A95" s="20">
        <v>1094</v>
      </c>
      <c r="B95" s="21" t="s">
        <v>106</v>
      </c>
      <c r="C95" s="21" t="s">
        <v>8</v>
      </c>
      <c r="D95" s="21" t="s">
        <v>543</v>
      </c>
      <c r="E95" s="22">
        <v>43831</v>
      </c>
      <c r="F95" s="21" t="s">
        <v>369</v>
      </c>
      <c r="G95" s="21" t="s">
        <v>523</v>
      </c>
      <c r="H95" s="21" t="s">
        <v>520</v>
      </c>
      <c r="I95" s="5" t="s">
        <v>661</v>
      </c>
      <c r="J95" s="21" t="s">
        <v>532</v>
      </c>
      <c r="K95" s="21" t="s">
        <v>540</v>
      </c>
      <c r="L95" s="23">
        <v>85007</v>
      </c>
      <c r="M95" s="23" t="s">
        <v>673</v>
      </c>
      <c r="N95" s="23">
        <v>58000</v>
      </c>
      <c r="O95" s="23">
        <v>75000</v>
      </c>
      <c r="P95" s="23">
        <v>87000</v>
      </c>
      <c r="Q95" s="24">
        <f>Table13[[#This Row],[Monthly Gross Salary]]/Table13[[#This Row],[Mid]]</f>
        <v>1.1334266666666666</v>
      </c>
      <c r="R95" s="23" t="str">
        <f t="shared" si="2"/>
        <v>Above Mid</v>
      </c>
      <c r="S95" s="23">
        <v>3</v>
      </c>
      <c r="T95" s="25">
        <f>INDEX('Merit Matrix'!$B$4:$F$8,
       MATCH($S95,'Merit Matrix'!$A$4:$A$8,0),
       MATCH(TRIM($R95),'Merit Matrix'!$B$3:$F$3,0))</f>
        <v>0.02</v>
      </c>
      <c r="U95" s="24">
        <f>Table13[[#This Row],[Salary increase %]]*Table13[[#This Row],[Monthly Gross Salary]]</f>
        <v>1700.14</v>
      </c>
      <c r="V95" s="23">
        <f>Table13[[#This Row],[Salary increase Amount]]+Table13[[#This Row],[Monthly Gross Salary]]</f>
        <v>86707.14</v>
      </c>
      <c r="W95" s="75">
        <v>0.2</v>
      </c>
      <c r="X95" s="6">
        <f>Table13[[#This Row],[New Gross Salary]]*Table13[[#This Row],[STI %]]</f>
        <v>17341.428</v>
      </c>
      <c r="Y95" s="96">
        <v>1</v>
      </c>
      <c r="Z95" s="6">
        <f>Table13[[#This Row],[Target STI]]*Table13[[#This Row],[Multiplier]]</f>
        <v>17341.428</v>
      </c>
      <c r="AA95" s="26">
        <v>0.32</v>
      </c>
      <c r="AB95" s="21" t="s">
        <v>6</v>
      </c>
      <c r="AC95" s="24">
        <f>(Table13[[#This Row],[New Gross Salary]]+Table13[[#This Row],[Final STI]])*Table13[[#This Row],[Tax %]]</f>
        <v>33295.54176</v>
      </c>
      <c r="AD95" s="24">
        <f>Table13[[#This Row],[New Gross Salary]]*5%</f>
        <v>4335.357</v>
      </c>
      <c r="AE95" s="21" cm="1">
        <f t="array" ref="AE95">_xlfn.XLOOKUP(AB95,{"A","B","C"},{500,800,1200})</f>
        <v>1200</v>
      </c>
      <c r="AF95" s="24">
        <f t="shared" si="3"/>
        <v>38830.898759999996</v>
      </c>
      <c r="AG95" s="27">
        <f>Table13[[#This Row],[New Gross Salary]]+Table13[[#This Row],[Final STI]]-Table13[[#This Row],[Total Deductions
(Tax+Pension+HP)]]</f>
        <v>65217.669240000003</v>
      </c>
    </row>
    <row r="96" spans="1:33" x14ac:dyDescent="0.2">
      <c r="A96" s="20">
        <v>1095</v>
      </c>
      <c r="B96" s="21" t="s">
        <v>107</v>
      </c>
      <c r="C96" s="21" t="s">
        <v>14</v>
      </c>
      <c r="D96" s="21" t="s">
        <v>628</v>
      </c>
      <c r="E96" s="22">
        <v>45292</v>
      </c>
      <c r="F96" s="21" t="s">
        <v>370</v>
      </c>
      <c r="G96" s="21" t="s">
        <v>523</v>
      </c>
      <c r="H96" s="21" t="s">
        <v>520</v>
      </c>
      <c r="I96" s="5" t="s">
        <v>661</v>
      </c>
      <c r="J96" s="21" t="s">
        <v>535</v>
      </c>
      <c r="K96" s="21" t="s">
        <v>538</v>
      </c>
      <c r="L96" s="23">
        <v>45304</v>
      </c>
      <c r="M96" s="23" t="s">
        <v>673</v>
      </c>
      <c r="N96" s="23">
        <v>38000</v>
      </c>
      <c r="O96" s="23">
        <v>50000</v>
      </c>
      <c r="P96" s="23">
        <v>56000</v>
      </c>
      <c r="Q96" s="24">
        <f>Table13[[#This Row],[Monthly Gross Salary]]/Table13[[#This Row],[Mid]]</f>
        <v>0.90608</v>
      </c>
      <c r="R96" s="23" t="str">
        <f t="shared" si="2"/>
        <v>Below Mid</v>
      </c>
      <c r="S96" s="23">
        <v>3</v>
      </c>
      <c r="T96" s="25">
        <f>INDEX('Merit Matrix'!$B$4:$F$8,
       MATCH($S96,'Merit Matrix'!$A$4:$A$8,0),
       MATCH(TRIM($R96),'Merit Matrix'!$B$3:$F$3,0))</f>
        <v>0.03</v>
      </c>
      <c r="U96" s="24">
        <f>Table13[[#This Row],[Salary increase %]]*Table13[[#This Row],[Monthly Gross Salary]]</f>
        <v>1359.12</v>
      </c>
      <c r="V96" s="23">
        <f>Table13[[#This Row],[Salary increase Amount]]+Table13[[#This Row],[Monthly Gross Salary]]</f>
        <v>46663.12</v>
      </c>
      <c r="W96" s="75">
        <v>0.15</v>
      </c>
      <c r="X96" s="6">
        <f>Table13[[#This Row],[New Gross Salary]]*Table13[[#This Row],[STI %]]</f>
        <v>6999.4679999999998</v>
      </c>
      <c r="Y96" s="96">
        <v>1</v>
      </c>
      <c r="Z96" s="6">
        <f>Table13[[#This Row],[Target STI]]*Table13[[#This Row],[Multiplier]]</f>
        <v>6999.4679999999998</v>
      </c>
      <c r="AA96" s="26">
        <v>0.31</v>
      </c>
      <c r="AB96" s="21" t="s">
        <v>18</v>
      </c>
      <c r="AC96" s="24">
        <f>(Table13[[#This Row],[New Gross Salary]]+Table13[[#This Row],[Final STI]])*Table13[[#This Row],[Tax %]]</f>
        <v>16635.402280000002</v>
      </c>
      <c r="AD96" s="24">
        <f>Table13[[#This Row],[New Gross Salary]]*5%</f>
        <v>2333.1560000000004</v>
      </c>
      <c r="AE96" s="21" cm="1">
        <f t="array" ref="AE96">_xlfn.XLOOKUP(AB96,{"A","B","C"},{500,800,1200})</f>
        <v>500</v>
      </c>
      <c r="AF96" s="24">
        <f t="shared" si="3"/>
        <v>19468.558280000001</v>
      </c>
      <c r="AG96" s="27">
        <f>Table13[[#This Row],[New Gross Salary]]+Table13[[#This Row],[Final STI]]-Table13[[#This Row],[Total Deductions
(Tax+Pension+HP)]]</f>
        <v>34194.029720000006</v>
      </c>
    </row>
    <row r="97" spans="1:33" x14ac:dyDescent="0.2">
      <c r="A97" s="20">
        <v>1096</v>
      </c>
      <c r="B97" s="21" t="s">
        <v>108</v>
      </c>
      <c r="C97" s="21" t="s">
        <v>8</v>
      </c>
      <c r="D97" s="21" t="s">
        <v>543</v>
      </c>
      <c r="E97" s="22">
        <v>43831</v>
      </c>
      <c r="F97" s="21" t="s">
        <v>371</v>
      </c>
      <c r="G97" s="21" t="s">
        <v>523</v>
      </c>
      <c r="H97" s="21" t="s">
        <v>520</v>
      </c>
      <c r="I97" s="5" t="s">
        <v>661</v>
      </c>
      <c r="J97" s="21" t="s">
        <v>532</v>
      </c>
      <c r="K97" s="21" t="s">
        <v>540</v>
      </c>
      <c r="L97" s="23">
        <v>85007</v>
      </c>
      <c r="M97" s="23" t="s">
        <v>673</v>
      </c>
      <c r="N97" s="23">
        <v>58000</v>
      </c>
      <c r="O97" s="23">
        <v>75000</v>
      </c>
      <c r="P97" s="23">
        <v>87000</v>
      </c>
      <c r="Q97" s="24">
        <f>Table13[[#This Row],[Monthly Gross Salary]]/Table13[[#This Row],[Mid]]</f>
        <v>1.1334266666666666</v>
      </c>
      <c r="R97" s="23" t="str">
        <f t="shared" si="2"/>
        <v>Above Mid</v>
      </c>
      <c r="S97" s="23">
        <v>3</v>
      </c>
      <c r="T97" s="25">
        <f>INDEX('Merit Matrix'!$B$4:$F$8,
       MATCH($S97,'Merit Matrix'!$A$4:$A$8,0),
       MATCH(TRIM($R97),'Merit Matrix'!$B$3:$F$3,0))</f>
        <v>0.02</v>
      </c>
      <c r="U97" s="24">
        <f>Table13[[#This Row],[Salary increase %]]*Table13[[#This Row],[Monthly Gross Salary]]</f>
        <v>1700.14</v>
      </c>
      <c r="V97" s="23">
        <f>Table13[[#This Row],[Salary increase Amount]]+Table13[[#This Row],[Monthly Gross Salary]]</f>
        <v>86707.14</v>
      </c>
      <c r="W97" s="75">
        <v>0.2</v>
      </c>
      <c r="X97" s="6">
        <f>Table13[[#This Row],[New Gross Salary]]*Table13[[#This Row],[STI %]]</f>
        <v>17341.428</v>
      </c>
      <c r="Y97" s="96">
        <v>1</v>
      </c>
      <c r="Z97" s="6">
        <f>Table13[[#This Row],[Target STI]]*Table13[[#This Row],[Multiplier]]</f>
        <v>17341.428</v>
      </c>
      <c r="AA97" s="26">
        <v>0.31</v>
      </c>
      <c r="AB97" s="21" t="s">
        <v>9</v>
      </c>
      <c r="AC97" s="24">
        <f>(Table13[[#This Row],[New Gross Salary]]+Table13[[#This Row],[Final STI]])*Table13[[#This Row],[Tax %]]</f>
        <v>32255.056079999998</v>
      </c>
      <c r="AD97" s="24">
        <f>Table13[[#This Row],[New Gross Salary]]*5%</f>
        <v>4335.357</v>
      </c>
      <c r="AE97" s="21" cm="1">
        <f t="array" ref="AE97">_xlfn.XLOOKUP(AB97,{"A","B","C"},{500,800,1200})</f>
        <v>800</v>
      </c>
      <c r="AF97" s="24">
        <f t="shared" si="3"/>
        <v>37390.413079999998</v>
      </c>
      <c r="AG97" s="27">
        <f>Table13[[#This Row],[New Gross Salary]]+Table13[[#This Row],[Final STI]]-Table13[[#This Row],[Total Deductions
(Tax+Pension+HP)]]</f>
        <v>66658.154920000001</v>
      </c>
    </row>
    <row r="98" spans="1:33" x14ac:dyDescent="0.2">
      <c r="A98" s="20">
        <v>1097</v>
      </c>
      <c r="B98" s="21" t="s">
        <v>109</v>
      </c>
      <c r="C98" s="21" t="s">
        <v>11</v>
      </c>
      <c r="D98" s="21" t="s">
        <v>529</v>
      </c>
      <c r="E98" s="22">
        <v>43831</v>
      </c>
      <c r="F98" s="21" t="s">
        <v>372</v>
      </c>
      <c r="G98" s="21" t="s">
        <v>523</v>
      </c>
      <c r="H98" s="21" t="s">
        <v>520</v>
      </c>
      <c r="I98" s="5" t="s">
        <v>661</v>
      </c>
      <c r="J98" s="21" t="s">
        <v>532</v>
      </c>
      <c r="K98" s="21" t="s">
        <v>539</v>
      </c>
      <c r="L98" s="23">
        <v>73097</v>
      </c>
      <c r="M98" s="23" t="s">
        <v>673</v>
      </c>
      <c r="N98" s="23">
        <v>55000</v>
      </c>
      <c r="O98" s="23">
        <v>75000</v>
      </c>
      <c r="P98" s="23">
        <v>85000</v>
      </c>
      <c r="Q98" s="24">
        <f>Table13[[#This Row],[Monthly Gross Salary]]/Table13[[#This Row],[Mid]]</f>
        <v>0.97462666666666664</v>
      </c>
      <c r="R98" s="23" t="str">
        <f t="shared" si="2"/>
        <v>Around Mid</v>
      </c>
      <c r="S98" s="23">
        <v>3</v>
      </c>
      <c r="T98" s="25">
        <f>INDEX('Merit Matrix'!$B$4:$F$8,
       MATCH($S98,'Merit Matrix'!$A$4:$A$8,0),
       MATCH(TRIM($R98),'Merit Matrix'!$B$3:$F$3,0))</f>
        <v>2.5000000000000001E-2</v>
      </c>
      <c r="U98" s="24">
        <f>Table13[[#This Row],[Salary increase %]]*Table13[[#This Row],[Monthly Gross Salary]]</f>
        <v>1827.4250000000002</v>
      </c>
      <c r="V98" s="23">
        <f>Table13[[#This Row],[Salary increase Amount]]+Table13[[#This Row],[Monthly Gross Salary]]</f>
        <v>74924.425000000003</v>
      </c>
      <c r="W98" s="75">
        <v>0.2</v>
      </c>
      <c r="X98" s="6">
        <f>Table13[[#This Row],[New Gross Salary]]*Table13[[#This Row],[STI %]]</f>
        <v>14984.885000000002</v>
      </c>
      <c r="Y98" s="96">
        <v>1</v>
      </c>
      <c r="Z98" s="6">
        <f>Table13[[#This Row],[Target STI]]*Table13[[#This Row],[Multiplier]]</f>
        <v>14984.885000000002</v>
      </c>
      <c r="AA98" s="26">
        <v>0.32</v>
      </c>
      <c r="AB98" s="21" t="s">
        <v>9</v>
      </c>
      <c r="AC98" s="24">
        <f>(Table13[[#This Row],[New Gross Salary]]+Table13[[#This Row],[Final STI]])*Table13[[#This Row],[Tax %]]</f>
        <v>28770.979200000002</v>
      </c>
      <c r="AD98" s="24">
        <f>Table13[[#This Row],[New Gross Salary]]*5%</f>
        <v>3746.2212500000005</v>
      </c>
      <c r="AE98" s="21" cm="1">
        <f t="array" ref="AE98">_xlfn.XLOOKUP(AB98,{"A","B","C"},{500,800,1200})</f>
        <v>800</v>
      </c>
      <c r="AF98" s="24">
        <f t="shared" si="3"/>
        <v>33317.200450000004</v>
      </c>
      <c r="AG98" s="27">
        <f>Table13[[#This Row],[New Gross Salary]]+Table13[[#This Row],[Final STI]]-Table13[[#This Row],[Total Deductions
(Tax+Pension+HP)]]</f>
        <v>56592.109549999994</v>
      </c>
    </row>
    <row r="99" spans="1:33" x14ac:dyDescent="0.2">
      <c r="A99" s="20">
        <v>1098</v>
      </c>
      <c r="B99" s="21" t="s">
        <v>110</v>
      </c>
      <c r="C99" s="21" t="s">
        <v>42</v>
      </c>
      <c r="D99" s="21" t="s">
        <v>555</v>
      </c>
      <c r="E99" s="22">
        <v>44562</v>
      </c>
      <c r="F99" s="21" t="s">
        <v>373</v>
      </c>
      <c r="G99" s="21" t="s">
        <v>524</v>
      </c>
      <c r="H99" s="21" t="s">
        <v>520</v>
      </c>
      <c r="I99" s="5" t="s">
        <v>661</v>
      </c>
      <c r="J99" s="21" t="s">
        <v>533</v>
      </c>
      <c r="K99" s="21" t="s">
        <v>536</v>
      </c>
      <c r="L99" s="23">
        <v>39020</v>
      </c>
      <c r="M99" s="23" t="s">
        <v>673</v>
      </c>
      <c r="N99" s="23">
        <v>30000</v>
      </c>
      <c r="O99" s="23">
        <v>35000</v>
      </c>
      <c r="P99" s="23">
        <v>40000</v>
      </c>
      <c r="Q99" s="24">
        <f>Table13[[#This Row],[Monthly Gross Salary]]/Table13[[#This Row],[Mid]]</f>
        <v>1.1148571428571428</v>
      </c>
      <c r="R99" s="23" t="str">
        <f t="shared" si="2"/>
        <v>Above Mid</v>
      </c>
      <c r="S99" s="23">
        <v>3</v>
      </c>
      <c r="T99" s="25">
        <f>INDEX('Merit Matrix'!$B$4:$F$8,
       MATCH($S99,'Merit Matrix'!$A$4:$A$8,0),
       MATCH(TRIM($R99),'Merit Matrix'!$B$3:$F$3,0))</f>
        <v>0.02</v>
      </c>
      <c r="U99" s="24">
        <f>Table13[[#This Row],[Salary increase %]]*Table13[[#This Row],[Monthly Gross Salary]]</f>
        <v>780.4</v>
      </c>
      <c r="V99" s="23">
        <f>Table13[[#This Row],[Salary increase Amount]]+Table13[[#This Row],[Monthly Gross Salary]]</f>
        <v>39800.400000000001</v>
      </c>
      <c r="W99" s="75">
        <v>0.1</v>
      </c>
      <c r="X99" s="6">
        <f>Table13[[#This Row],[New Gross Salary]]*Table13[[#This Row],[STI %]]</f>
        <v>3980.0400000000004</v>
      </c>
      <c r="Y99" s="96">
        <v>1</v>
      </c>
      <c r="Z99" s="6">
        <f>Table13[[#This Row],[Target STI]]*Table13[[#This Row],[Multiplier]]</f>
        <v>3980.0400000000004</v>
      </c>
      <c r="AA99" s="26">
        <v>0.28000000000000003</v>
      </c>
      <c r="AB99" s="21" t="s">
        <v>9</v>
      </c>
      <c r="AC99" s="24">
        <f>(Table13[[#This Row],[New Gross Salary]]+Table13[[#This Row],[Final STI]])*Table13[[#This Row],[Tax %]]</f>
        <v>12258.523200000001</v>
      </c>
      <c r="AD99" s="24">
        <f>Table13[[#This Row],[New Gross Salary]]*5%</f>
        <v>1990.0200000000002</v>
      </c>
      <c r="AE99" s="21" cm="1">
        <f t="array" ref="AE99">_xlfn.XLOOKUP(AB99,{"A","B","C"},{500,800,1200})</f>
        <v>800</v>
      </c>
      <c r="AF99" s="24">
        <f t="shared" si="3"/>
        <v>15048.543200000002</v>
      </c>
      <c r="AG99" s="27">
        <f>Table13[[#This Row],[New Gross Salary]]+Table13[[#This Row],[Final STI]]-Table13[[#This Row],[Total Deductions
(Tax+Pension+HP)]]</f>
        <v>28731.896800000002</v>
      </c>
    </row>
    <row r="100" spans="1:33" x14ac:dyDescent="0.2">
      <c r="A100" s="20">
        <v>1099</v>
      </c>
      <c r="B100" s="21" t="s">
        <v>111</v>
      </c>
      <c r="C100" s="21" t="s">
        <v>17</v>
      </c>
      <c r="D100" s="21" t="s">
        <v>558</v>
      </c>
      <c r="E100" s="22">
        <v>45292</v>
      </c>
      <c r="F100" s="21" t="s">
        <v>374</v>
      </c>
      <c r="G100" s="21" t="s">
        <v>524</v>
      </c>
      <c r="H100" s="21" t="s">
        <v>520</v>
      </c>
      <c r="I100" s="5" t="s">
        <v>661</v>
      </c>
      <c r="J100" s="21" t="s">
        <v>533</v>
      </c>
      <c r="K100" s="21" t="s">
        <v>536</v>
      </c>
      <c r="L100" s="23">
        <v>39020</v>
      </c>
      <c r="M100" s="23" t="s">
        <v>673</v>
      </c>
      <c r="N100" s="23">
        <v>30000</v>
      </c>
      <c r="O100" s="23">
        <v>35000</v>
      </c>
      <c r="P100" s="23">
        <v>40000</v>
      </c>
      <c r="Q100" s="24">
        <f>Table13[[#This Row],[Monthly Gross Salary]]/Table13[[#This Row],[Mid]]</f>
        <v>1.1148571428571428</v>
      </c>
      <c r="R100" s="23" t="str">
        <f t="shared" si="2"/>
        <v>Above Mid</v>
      </c>
      <c r="S100" s="23">
        <v>3</v>
      </c>
      <c r="T100" s="25">
        <f>INDEX('Merit Matrix'!$B$4:$F$8,
       MATCH($S100,'Merit Matrix'!$A$4:$A$8,0),
       MATCH(TRIM($R100),'Merit Matrix'!$B$3:$F$3,0))</f>
        <v>0.02</v>
      </c>
      <c r="U100" s="24">
        <f>Table13[[#This Row],[Salary increase %]]*Table13[[#This Row],[Monthly Gross Salary]]</f>
        <v>780.4</v>
      </c>
      <c r="V100" s="23">
        <f>Table13[[#This Row],[Salary increase Amount]]+Table13[[#This Row],[Monthly Gross Salary]]</f>
        <v>39800.400000000001</v>
      </c>
      <c r="W100" s="75">
        <v>0.1</v>
      </c>
      <c r="X100" s="6">
        <f>Table13[[#This Row],[New Gross Salary]]*Table13[[#This Row],[STI %]]</f>
        <v>3980.0400000000004</v>
      </c>
      <c r="Y100" s="96">
        <v>1</v>
      </c>
      <c r="Z100" s="6">
        <f>Table13[[#This Row],[Target STI]]*Table13[[#This Row],[Multiplier]]</f>
        <v>3980.0400000000004</v>
      </c>
      <c r="AA100" s="26">
        <v>0.31</v>
      </c>
      <c r="AB100" s="21" t="s">
        <v>18</v>
      </c>
      <c r="AC100" s="24">
        <f>(Table13[[#This Row],[New Gross Salary]]+Table13[[#This Row],[Final STI]])*Table13[[#This Row],[Tax %]]</f>
        <v>13571.936400000001</v>
      </c>
      <c r="AD100" s="24">
        <f>Table13[[#This Row],[New Gross Salary]]*5%</f>
        <v>1990.0200000000002</v>
      </c>
      <c r="AE100" s="21" cm="1">
        <f t="array" ref="AE100">_xlfn.XLOOKUP(AB100,{"A","B","C"},{500,800,1200})</f>
        <v>500</v>
      </c>
      <c r="AF100" s="24">
        <f t="shared" si="3"/>
        <v>16061.956400000001</v>
      </c>
      <c r="AG100" s="27">
        <f>Table13[[#This Row],[New Gross Salary]]+Table13[[#This Row],[Final STI]]-Table13[[#This Row],[Total Deductions
(Tax+Pension+HP)]]</f>
        <v>27718.4836</v>
      </c>
    </row>
    <row r="101" spans="1:33" x14ac:dyDescent="0.2">
      <c r="A101" s="20">
        <v>1100</v>
      </c>
      <c r="B101" s="21" t="s">
        <v>112</v>
      </c>
      <c r="C101" s="21" t="s">
        <v>17</v>
      </c>
      <c r="D101" s="21" t="s">
        <v>559</v>
      </c>
      <c r="E101" s="22">
        <v>43831</v>
      </c>
      <c r="F101" s="21" t="s">
        <v>375</v>
      </c>
      <c r="G101" s="21" t="s">
        <v>522</v>
      </c>
      <c r="H101" s="21" t="s">
        <v>520</v>
      </c>
      <c r="I101" s="5" t="s">
        <v>661</v>
      </c>
      <c r="J101" s="21" t="s">
        <v>532</v>
      </c>
      <c r="K101" s="21" t="s">
        <v>539</v>
      </c>
      <c r="L101" s="23">
        <v>73097</v>
      </c>
      <c r="M101" s="23" t="s">
        <v>673</v>
      </c>
      <c r="N101" s="23">
        <v>55000</v>
      </c>
      <c r="O101" s="23">
        <v>75000</v>
      </c>
      <c r="P101" s="23">
        <v>85000</v>
      </c>
      <c r="Q101" s="24">
        <f>Table13[[#This Row],[Monthly Gross Salary]]/Table13[[#This Row],[Mid]]</f>
        <v>0.97462666666666664</v>
      </c>
      <c r="R101" s="23" t="str">
        <f t="shared" si="2"/>
        <v>Around Mid</v>
      </c>
      <c r="S101" s="23">
        <v>4</v>
      </c>
      <c r="T101" s="25">
        <f>INDEX('Merit Matrix'!$B$4:$F$8,
       MATCH($S101,'Merit Matrix'!$A$4:$A$8,0),
       MATCH(TRIM($R101),'Merit Matrix'!$B$3:$F$3,0))</f>
        <v>0.04</v>
      </c>
      <c r="U101" s="24">
        <f>Table13[[#This Row],[Salary increase %]]*Table13[[#This Row],[Monthly Gross Salary]]</f>
        <v>2923.88</v>
      </c>
      <c r="V101" s="23">
        <f>Table13[[#This Row],[Salary increase Amount]]+Table13[[#This Row],[Monthly Gross Salary]]</f>
        <v>76020.88</v>
      </c>
      <c r="W101" s="75">
        <v>0.2</v>
      </c>
      <c r="X101" s="6">
        <f>Table13[[#This Row],[New Gross Salary]]*Table13[[#This Row],[STI %]]</f>
        <v>15204.176000000001</v>
      </c>
      <c r="Y101" s="96">
        <v>1.2</v>
      </c>
      <c r="Z101" s="6">
        <f>Table13[[#This Row],[Target STI]]*Table13[[#This Row],[Multiplier]]</f>
        <v>18245.011200000001</v>
      </c>
      <c r="AA101" s="26">
        <v>0.32</v>
      </c>
      <c r="AB101" s="21" t="s">
        <v>9</v>
      </c>
      <c r="AC101" s="24">
        <f>(Table13[[#This Row],[New Gross Salary]]+Table13[[#This Row],[Final STI]])*Table13[[#This Row],[Tax %]]</f>
        <v>30165.085184000003</v>
      </c>
      <c r="AD101" s="24">
        <f>Table13[[#This Row],[New Gross Salary]]*5%</f>
        <v>3801.0440000000003</v>
      </c>
      <c r="AE101" s="21" cm="1">
        <f t="array" ref="AE101">_xlfn.XLOOKUP(AB101,{"A","B","C"},{500,800,1200})</f>
        <v>800</v>
      </c>
      <c r="AF101" s="24">
        <f t="shared" si="3"/>
        <v>34766.129184000005</v>
      </c>
      <c r="AG101" s="27">
        <f>Table13[[#This Row],[New Gross Salary]]+Table13[[#This Row],[Final STI]]-Table13[[#This Row],[Total Deductions
(Tax+Pension+HP)]]</f>
        <v>59499.762016000008</v>
      </c>
    </row>
    <row r="102" spans="1:33" x14ac:dyDescent="0.2">
      <c r="A102" s="20">
        <v>1101</v>
      </c>
      <c r="B102" s="21" t="s">
        <v>113</v>
      </c>
      <c r="C102" s="21" t="s">
        <v>8</v>
      </c>
      <c r="D102" s="21" t="s">
        <v>543</v>
      </c>
      <c r="E102" s="22">
        <v>43831</v>
      </c>
      <c r="F102" s="21" t="s">
        <v>376</v>
      </c>
      <c r="G102" s="21" t="s">
        <v>523</v>
      </c>
      <c r="H102" s="21" t="s">
        <v>520</v>
      </c>
      <c r="I102" s="5" t="s">
        <v>661</v>
      </c>
      <c r="J102" s="21" t="s">
        <v>532</v>
      </c>
      <c r="K102" s="21" t="s">
        <v>540</v>
      </c>
      <c r="L102" s="23">
        <v>85007</v>
      </c>
      <c r="M102" s="23" t="s">
        <v>673</v>
      </c>
      <c r="N102" s="23">
        <v>58000</v>
      </c>
      <c r="O102" s="23">
        <v>75000</v>
      </c>
      <c r="P102" s="23">
        <v>87000</v>
      </c>
      <c r="Q102" s="24">
        <f>Table13[[#This Row],[Monthly Gross Salary]]/Table13[[#This Row],[Mid]]</f>
        <v>1.1334266666666666</v>
      </c>
      <c r="R102" s="23" t="str">
        <f t="shared" si="2"/>
        <v>Above Mid</v>
      </c>
      <c r="S102" s="23">
        <v>3</v>
      </c>
      <c r="T102" s="25">
        <f>INDEX('Merit Matrix'!$B$4:$F$8,
       MATCH($S102,'Merit Matrix'!$A$4:$A$8,0),
       MATCH(TRIM($R102),'Merit Matrix'!$B$3:$F$3,0))</f>
        <v>0.02</v>
      </c>
      <c r="U102" s="24">
        <f>Table13[[#This Row],[Salary increase %]]*Table13[[#This Row],[Monthly Gross Salary]]</f>
        <v>1700.14</v>
      </c>
      <c r="V102" s="23">
        <f>Table13[[#This Row],[Salary increase Amount]]+Table13[[#This Row],[Monthly Gross Salary]]</f>
        <v>86707.14</v>
      </c>
      <c r="W102" s="75">
        <v>0.2</v>
      </c>
      <c r="X102" s="6">
        <f>Table13[[#This Row],[New Gross Salary]]*Table13[[#This Row],[STI %]]</f>
        <v>17341.428</v>
      </c>
      <c r="Y102" s="96">
        <v>1</v>
      </c>
      <c r="Z102" s="6">
        <f>Table13[[#This Row],[Target STI]]*Table13[[#This Row],[Multiplier]]</f>
        <v>17341.428</v>
      </c>
      <c r="AA102" s="26">
        <v>0.32</v>
      </c>
      <c r="AB102" s="21" t="s">
        <v>6</v>
      </c>
      <c r="AC102" s="24">
        <f>(Table13[[#This Row],[New Gross Salary]]+Table13[[#This Row],[Final STI]])*Table13[[#This Row],[Tax %]]</f>
        <v>33295.54176</v>
      </c>
      <c r="AD102" s="24">
        <f>Table13[[#This Row],[New Gross Salary]]*5%</f>
        <v>4335.357</v>
      </c>
      <c r="AE102" s="21" cm="1">
        <f t="array" ref="AE102">_xlfn.XLOOKUP(AB102,{"A","B","C"},{500,800,1200})</f>
        <v>1200</v>
      </c>
      <c r="AF102" s="24">
        <f t="shared" si="3"/>
        <v>38830.898759999996</v>
      </c>
      <c r="AG102" s="27">
        <f>Table13[[#This Row],[New Gross Salary]]+Table13[[#This Row],[Final STI]]-Table13[[#This Row],[Total Deductions
(Tax+Pension+HP)]]</f>
        <v>65217.669240000003</v>
      </c>
    </row>
    <row r="103" spans="1:33" x14ac:dyDescent="0.2">
      <c r="A103" s="20">
        <v>1102</v>
      </c>
      <c r="B103" s="21" t="s">
        <v>114</v>
      </c>
      <c r="C103" s="21" t="s">
        <v>8</v>
      </c>
      <c r="D103" s="21" t="s">
        <v>543</v>
      </c>
      <c r="E103" s="22">
        <v>43831</v>
      </c>
      <c r="F103" s="21" t="s">
        <v>377</v>
      </c>
      <c r="G103" s="21" t="s">
        <v>523</v>
      </c>
      <c r="H103" s="21" t="s">
        <v>520</v>
      </c>
      <c r="I103" s="5" t="s">
        <v>661</v>
      </c>
      <c r="J103" s="21" t="s">
        <v>532</v>
      </c>
      <c r="K103" s="21" t="s">
        <v>540</v>
      </c>
      <c r="L103" s="23">
        <v>85007</v>
      </c>
      <c r="M103" s="23" t="s">
        <v>673</v>
      </c>
      <c r="N103" s="23">
        <v>58000</v>
      </c>
      <c r="O103" s="23">
        <v>75000</v>
      </c>
      <c r="P103" s="23">
        <v>87000</v>
      </c>
      <c r="Q103" s="24">
        <f>Table13[[#This Row],[Monthly Gross Salary]]/Table13[[#This Row],[Mid]]</f>
        <v>1.1334266666666666</v>
      </c>
      <c r="R103" s="23" t="str">
        <f t="shared" si="2"/>
        <v>Above Mid</v>
      </c>
      <c r="S103" s="23">
        <v>3</v>
      </c>
      <c r="T103" s="25">
        <f>INDEX('Merit Matrix'!$B$4:$F$8,
       MATCH($S103,'Merit Matrix'!$A$4:$A$8,0),
       MATCH(TRIM($R103),'Merit Matrix'!$B$3:$F$3,0))</f>
        <v>0.02</v>
      </c>
      <c r="U103" s="24">
        <f>Table13[[#This Row],[Salary increase %]]*Table13[[#This Row],[Monthly Gross Salary]]</f>
        <v>1700.14</v>
      </c>
      <c r="V103" s="23">
        <f>Table13[[#This Row],[Salary increase Amount]]+Table13[[#This Row],[Monthly Gross Salary]]</f>
        <v>86707.14</v>
      </c>
      <c r="W103" s="75">
        <v>0.2</v>
      </c>
      <c r="X103" s="6">
        <f>Table13[[#This Row],[New Gross Salary]]*Table13[[#This Row],[STI %]]</f>
        <v>17341.428</v>
      </c>
      <c r="Y103" s="96">
        <v>1</v>
      </c>
      <c r="Z103" s="6">
        <f>Table13[[#This Row],[Target STI]]*Table13[[#This Row],[Multiplier]]</f>
        <v>17341.428</v>
      </c>
      <c r="AA103" s="26">
        <v>0.31</v>
      </c>
      <c r="AB103" s="21" t="s">
        <v>9</v>
      </c>
      <c r="AC103" s="24">
        <f>(Table13[[#This Row],[New Gross Salary]]+Table13[[#This Row],[Final STI]])*Table13[[#This Row],[Tax %]]</f>
        <v>32255.056079999998</v>
      </c>
      <c r="AD103" s="24">
        <f>Table13[[#This Row],[New Gross Salary]]*5%</f>
        <v>4335.357</v>
      </c>
      <c r="AE103" s="21" cm="1">
        <f t="array" ref="AE103">_xlfn.XLOOKUP(AB103,{"A","B","C"},{500,800,1200})</f>
        <v>800</v>
      </c>
      <c r="AF103" s="24">
        <f t="shared" si="3"/>
        <v>37390.413079999998</v>
      </c>
      <c r="AG103" s="27">
        <f>Table13[[#This Row],[New Gross Salary]]+Table13[[#This Row],[Final STI]]-Table13[[#This Row],[Total Deductions
(Tax+Pension+HP)]]</f>
        <v>66658.154920000001</v>
      </c>
    </row>
    <row r="104" spans="1:33" x14ac:dyDescent="0.2">
      <c r="A104" s="20">
        <v>1103</v>
      </c>
      <c r="B104" s="21" t="s">
        <v>115</v>
      </c>
      <c r="C104" s="21" t="s">
        <v>11</v>
      </c>
      <c r="D104" s="21" t="s">
        <v>529</v>
      </c>
      <c r="E104" s="22">
        <v>43831</v>
      </c>
      <c r="F104" s="21" t="s">
        <v>378</v>
      </c>
      <c r="G104" s="21" t="s">
        <v>523</v>
      </c>
      <c r="H104" s="21" t="s">
        <v>520</v>
      </c>
      <c r="I104" s="5" t="s">
        <v>661</v>
      </c>
      <c r="J104" s="21" t="s">
        <v>532</v>
      </c>
      <c r="K104" s="21" t="s">
        <v>539</v>
      </c>
      <c r="L104" s="23">
        <v>73097</v>
      </c>
      <c r="M104" s="23" t="s">
        <v>673</v>
      </c>
      <c r="N104" s="23">
        <v>55000</v>
      </c>
      <c r="O104" s="23">
        <v>75000</v>
      </c>
      <c r="P104" s="23">
        <v>85000</v>
      </c>
      <c r="Q104" s="24">
        <f>Table13[[#This Row],[Monthly Gross Salary]]/Table13[[#This Row],[Mid]]</f>
        <v>0.97462666666666664</v>
      </c>
      <c r="R104" s="23" t="str">
        <f t="shared" si="2"/>
        <v>Around Mid</v>
      </c>
      <c r="S104" s="23">
        <v>3</v>
      </c>
      <c r="T104" s="25">
        <f>INDEX('Merit Matrix'!$B$4:$F$8,
       MATCH($S104,'Merit Matrix'!$A$4:$A$8,0),
       MATCH(TRIM($R104),'Merit Matrix'!$B$3:$F$3,0))</f>
        <v>2.5000000000000001E-2</v>
      </c>
      <c r="U104" s="24">
        <f>Table13[[#This Row],[Salary increase %]]*Table13[[#This Row],[Monthly Gross Salary]]</f>
        <v>1827.4250000000002</v>
      </c>
      <c r="V104" s="23">
        <f>Table13[[#This Row],[Salary increase Amount]]+Table13[[#This Row],[Monthly Gross Salary]]</f>
        <v>74924.425000000003</v>
      </c>
      <c r="W104" s="75">
        <v>0.2</v>
      </c>
      <c r="X104" s="6">
        <f>Table13[[#This Row],[New Gross Salary]]*Table13[[#This Row],[STI %]]</f>
        <v>14984.885000000002</v>
      </c>
      <c r="Y104" s="96">
        <v>1</v>
      </c>
      <c r="Z104" s="6">
        <f>Table13[[#This Row],[Target STI]]*Table13[[#This Row],[Multiplier]]</f>
        <v>14984.885000000002</v>
      </c>
      <c r="AA104" s="26">
        <v>0.31</v>
      </c>
      <c r="AB104" s="21" t="s">
        <v>18</v>
      </c>
      <c r="AC104" s="24">
        <f>(Table13[[#This Row],[New Gross Salary]]+Table13[[#This Row],[Final STI]])*Table13[[#This Row],[Tax %]]</f>
        <v>27871.8861</v>
      </c>
      <c r="AD104" s="24">
        <f>Table13[[#This Row],[New Gross Salary]]*5%</f>
        <v>3746.2212500000005</v>
      </c>
      <c r="AE104" s="21" cm="1">
        <f t="array" ref="AE104">_xlfn.XLOOKUP(AB104,{"A","B","C"},{500,800,1200})</f>
        <v>500</v>
      </c>
      <c r="AF104" s="24">
        <f t="shared" si="3"/>
        <v>32118.107349999998</v>
      </c>
      <c r="AG104" s="27">
        <f>Table13[[#This Row],[New Gross Salary]]+Table13[[#This Row],[Final STI]]-Table13[[#This Row],[Total Deductions
(Tax+Pension+HP)]]</f>
        <v>57791.202649999999</v>
      </c>
    </row>
    <row r="105" spans="1:33" x14ac:dyDescent="0.2">
      <c r="A105" s="20">
        <v>1104</v>
      </c>
      <c r="B105" s="21" t="s">
        <v>116</v>
      </c>
      <c r="C105" s="21" t="s">
        <v>5</v>
      </c>
      <c r="D105" s="21" t="s">
        <v>549</v>
      </c>
      <c r="E105" s="22">
        <v>45292</v>
      </c>
      <c r="F105" s="21" t="s">
        <v>379</v>
      </c>
      <c r="G105" s="21" t="s">
        <v>523</v>
      </c>
      <c r="H105" s="21" t="s">
        <v>520</v>
      </c>
      <c r="I105" s="5" t="s">
        <v>661</v>
      </c>
      <c r="J105" s="21" t="s">
        <v>535</v>
      </c>
      <c r="K105" s="21" t="s">
        <v>538</v>
      </c>
      <c r="L105" s="23">
        <v>45304</v>
      </c>
      <c r="M105" s="23" t="s">
        <v>673</v>
      </c>
      <c r="N105" s="23">
        <v>38000</v>
      </c>
      <c r="O105" s="23">
        <v>50000</v>
      </c>
      <c r="P105" s="23">
        <v>56000</v>
      </c>
      <c r="Q105" s="24">
        <f>Table13[[#This Row],[Monthly Gross Salary]]/Table13[[#This Row],[Mid]]</f>
        <v>0.90608</v>
      </c>
      <c r="R105" s="23" t="str">
        <f t="shared" si="2"/>
        <v>Below Mid</v>
      </c>
      <c r="S105" s="23">
        <v>3</v>
      </c>
      <c r="T105" s="25">
        <f>INDEX('Merit Matrix'!$B$4:$F$8,
       MATCH($S105,'Merit Matrix'!$A$4:$A$8,0),
       MATCH(TRIM($R105),'Merit Matrix'!$B$3:$F$3,0))</f>
        <v>0.03</v>
      </c>
      <c r="U105" s="24">
        <f>Table13[[#This Row],[Salary increase %]]*Table13[[#This Row],[Monthly Gross Salary]]</f>
        <v>1359.12</v>
      </c>
      <c r="V105" s="23">
        <f>Table13[[#This Row],[Salary increase Amount]]+Table13[[#This Row],[Monthly Gross Salary]]</f>
        <v>46663.12</v>
      </c>
      <c r="W105" s="75">
        <v>0.15</v>
      </c>
      <c r="X105" s="6">
        <f>Table13[[#This Row],[New Gross Salary]]*Table13[[#This Row],[STI %]]</f>
        <v>6999.4679999999998</v>
      </c>
      <c r="Y105" s="96">
        <v>1</v>
      </c>
      <c r="Z105" s="6">
        <f>Table13[[#This Row],[Target STI]]*Table13[[#This Row],[Multiplier]]</f>
        <v>6999.4679999999998</v>
      </c>
      <c r="AA105" s="26">
        <v>0.32</v>
      </c>
      <c r="AB105" s="21" t="s">
        <v>6</v>
      </c>
      <c r="AC105" s="24">
        <f>(Table13[[#This Row],[New Gross Salary]]+Table13[[#This Row],[Final STI]])*Table13[[#This Row],[Tax %]]</f>
        <v>17172.028160000002</v>
      </c>
      <c r="AD105" s="24">
        <f>Table13[[#This Row],[New Gross Salary]]*5%</f>
        <v>2333.1560000000004</v>
      </c>
      <c r="AE105" s="21" cm="1">
        <f t="array" ref="AE105">_xlfn.XLOOKUP(AB105,{"A","B","C"},{500,800,1200})</f>
        <v>1200</v>
      </c>
      <c r="AF105" s="24">
        <f t="shared" si="3"/>
        <v>20705.184160000001</v>
      </c>
      <c r="AG105" s="27">
        <f>Table13[[#This Row],[New Gross Salary]]+Table13[[#This Row],[Final STI]]-Table13[[#This Row],[Total Deductions
(Tax+Pension+HP)]]</f>
        <v>32957.403839999999</v>
      </c>
    </row>
    <row r="106" spans="1:33" x14ac:dyDescent="0.2">
      <c r="A106" s="20">
        <v>1105</v>
      </c>
      <c r="B106" s="21" t="s">
        <v>117</v>
      </c>
      <c r="C106" s="21" t="s">
        <v>17</v>
      </c>
      <c r="D106" s="21" t="s">
        <v>559</v>
      </c>
      <c r="E106" s="22">
        <v>43831</v>
      </c>
      <c r="F106" s="21" t="s">
        <v>380</v>
      </c>
      <c r="G106" s="21" t="s">
        <v>522</v>
      </c>
      <c r="H106" s="21" t="s">
        <v>520</v>
      </c>
      <c r="I106" s="5" t="s">
        <v>661</v>
      </c>
      <c r="J106" s="21" t="s">
        <v>532</v>
      </c>
      <c r="K106" s="21" t="s">
        <v>539</v>
      </c>
      <c r="L106" s="23">
        <v>73097</v>
      </c>
      <c r="M106" s="23" t="s">
        <v>673</v>
      </c>
      <c r="N106" s="23">
        <v>55000</v>
      </c>
      <c r="O106" s="23">
        <v>75000</v>
      </c>
      <c r="P106" s="23">
        <v>85000</v>
      </c>
      <c r="Q106" s="24">
        <f>Table13[[#This Row],[Monthly Gross Salary]]/Table13[[#This Row],[Mid]]</f>
        <v>0.97462666666666664</v>
      </c>
      <c r="R106" s="23" t="str">
        <f t="shared" si="2"/>
        <v>Around Mid</v>
      </c>
      <c r="S106" s="23">
        <v>4</v>
      </c>
      <c r="T106" s="25">
        <f>INDEX('Merit Matrix'!$B$4:$F$8,
       MATCH($S106,'Merit Matrix'!$A$4:$A$8,0),
       MATCH(TRIM($R106),'Merit Matrix'!$B$3:$F$3,0))</f>
        <v>0.04</v>
      </c>
      <c r="U106" s="24">
        <f>Table13[[#This Row],[Salary increase %]]*Table13[[#This Row],[Monthly Gross Salary]]</f>
        <v>2923.88</v>
      </c>
      <c r="V106" s="23">
        <f>Table13[[#This Row],[Salary increase Amount]]+Table13[[#This Row],[Monthly Gross Salary]]</f>
        <v>76020.88</v>
      </c>
      <c r="W106" s="75">
        <v>0.2</v>
      </c>
      <c r="X106" s="6">
        <f>Table13[[#This Row],[New Gross Salary]]*Table13[[#This Row],[STI %]]</f>
        <v>15204.176000000001</v>
      </c>
      <c r="Y106" s="96">
        <v>1.2</v>
      </c>
      <c r="Z106" s="6">
        <f>Table13[[#This Row],[Target STI]]*Table13[[#This Row],[Multiplier]]</f>
        <v>18245.011200000001</v>
      </c>
      <c r="AA106" s="26">
        <v>0.32</v>
      </c>
      <c r="AB106" s="21" t="s">
        <v>9</v>
      </c>
      <c r="AC106" s="24">
        <f>(Table13[[#This Row],[New Gross Salary]]+Table13[[#This Row],[Final STI]])*Table13[[#This Row],[Tax %]]</f>
        <v>30165.085184000003</v>
      </c>
      <c r="AD106" s="24">
        <f>Table13[[#This Row],[New Gross Salary]]*5%</f>
        <v>3801.0440000000003</v>
      </c>
      <c r="AE106" s="21" cm="1">
        <f t="array" ref="AE106">_xlfn.XLOOKUP(AB106,{"A","B","C"},{500,800,1200})</f>
        <v>800</v>
      </c>
      <c r="AF106" s="24">
        <f t="shared" si="3"/>
        <v>34766.129184000005</v>
      </c>
      <c r="AG106" s="27">
        <f>Table13[[#This Row],[New Gross Salary]]+Table13[[#This Row],[Final STI]]-Table13[[#This Row],[Total Deductions
(Tax+Pension+HP)]]</f>
        <v>59499.762016000008</v>
      </c>
    </row>
    <row r="107" spans="1:33" x14ac:dyDescent="0.2">
      <c r="A107" s="20">
        <v>1106</v>
      </c>
      <c r="B107" s="21" t="s">
        <v>118</v>
      </c>
      <c r="C107" s="21" t="s">
        <v>17</v>
      </c>
      <c r="D107" s="21" t="s">
        <v>559</v>
      </c>
      <c r="E107" s="22">
        <v>43831</v>
      </c>
      <c r="F107" s="21" t="s">
        <v>381</v>
      </c>
      <c r="G107" s="21" t="s">
        <v>522</v>
      </c>
      <c r="H107" s="21" t="s">
        <v>520</v>
      </c>
      <c r="I107" s="5" t="s">
        <v>661</v>
      </c>
      <c r="J107" s="21" t="s">
        <v>532</v>
      </c>
      <c r="K107" s="21" t="s">
        <v>539</v>
      </c>
      <c r="L107" s="23">
        <v>73097</v>
      </c>
      <c r="M107" s="23" t="s">
        <v>673</v>
      </c>
      <c r="N107" s="23">
        <v>55000</v>
      </c>
      <c r="O107" s="23">
        <v>75000</v>
      </c>
      <c r="P107" s="23">
        <v>85000</v>
      </c>
      <c r="Q107" s="24">
        <f>Table13[[#This Row],[Monthly Gross Salary]]/Table13[[#This Row],[Mid]]</f>
        <v>0.97462666666666664</v>
      </c>
      <c r="R107" s="23" t="str">
        <f t="shared" si="2"/>
        <v>Around Mid</v>
      </c>
      <c r="S107" s="23">
        <v>4</v>
      </c>
      <c r="T107" s="25">
        <f>INDEX('Merit Matrix'!$B$4:$F$8,
       MATCH($S107,'Merit Matrix'!$A$4:$A$8,0),
       MATCH(TRIM($R107),'Merit Matrix'!$B$3:$F$3,0))</f>
        <v>0.04</v>
      </c>
      <c r="U107" s="24">
        <f>Table13[[#This Row],[Salary increase %]]*Table13[[#This Row],[Monthly Gross Salary]]</f>
        <v>2923.88</v>
      </c>
      <c r="V107" s="23">
        <f>Table13[[#This Row],[Salary increase Amount]]+Table13[[#This Row],[Monthly Gross Salary]]</f>
        <v>76020.88</v>
      </c>
      <c r="W107" s="75">
        <v>0.2</v>
      </c>
      <c r="X107" s="6">
        <f>Table13[[#This Row],[New Gross Salary]]*Table13[[#This Row],[STI %]]</f>
        <v>15204.176000000001</v>
      </c>
      <c r="Y107" s="96">
        <v>1.2</v>
      </c>
      <c r="Z107" s="6">
        <f>Table13[[#This Row],[Target STI]]*Table13[[#This Row],[Multiplier]]</f>
        <v>18245.011200000001</v>
      </c>
      <c r="AA107" s="26">
        <v>0.32</v>
      </c>
      <c r="AB107" s="21" t="s">
        <v>9</v>
      </c>
      <c r="AC107" s="24">
        <f>(Table13[[#This Row],[New Gross Salary]]+Table13[[#This Row],[Final STI]])*Table13[[#This Row],[Tax %]]</f>
        <v>30165.085184000003</v>
      </c>
      <c r="AD107" s="24">
        <f>Table13[[#This Row],[New Gross Salary]]*5%</f>
        <v>3801.0440000000003</v>
      </c>
      <c r="AE107" s="21" cm="1">
        <f t="array" ref="AE107">_xlfn.XLOOKUP(AB107,{"A","B","C"},{500,800,1200})</f>
        <v>800</v>
      </c>
      <c r="AF107" s="24">
        <f t="shared" si="3"/>
        <v>34766.129184000005</v>
      </c>
      <c r="AG107" s="27">
        <f>Table13[[#This Row],[New Gross Salary]]+Table13[[#This Row],[Final STI]]-Table13[[#This Row],[Total Deductions
(Tax+Pension+HP)]]</f>
        <v>59499.762016000008</v>
      </c>
    </row>
    <row r="108" spans="1:33" x14ac:dyDescent="0.2">
      <c r="A108" s="20">
        <v>1107</v>
      </c>
      <c r="B108" s="21" t="s">
        <v>119</v>
      </c>
      <c r="C108" s="21" t="s">
        <v>8</v>
      </c>
      <c r="D108" s="21" t="s">
        <v>543</v>
      </c>
      <c r="E108" s="22">
        <v>43831</v>
      </c>
      <c r="F108" s="21" t="s">
        <v>382</v>
      </c>
      <c r="G108" s="21" t="s">
        <v>523</v>
      </c>
      <c r="H108" s="21" t="s">
        <v>520</v>
      </c>
      <c r="I108" s="5" t="s">
        <v>661</v>
      </c>
      <c r="J108" s="21" t="s">
        <v>532</v>
      </c>
      <c r="K108" s="21" t="s">
        <v>539</v>
      </c>
      <c r="L108" s="23">
        <v>73097</v>
      </c>
      <c r="M108" s="23" t="s">
        <v>673</v>
      </c>
      <c r="N108" s="23">
        <v>55000</v>
      </c>
      <c r="O108" s="23">
        <v>75000</v>
      </c>
      <c r="P108" s="23">
        <v>85000</v>
      </c>
      <c r="Q108" s="24">
        <f>Table13[[#This Row],[Monthly Gross Salary]]/Table13[[#This Row],[Mid]]</f>
        <v>0.97462666666666664</v>
      </c>
      <c r="R108" s="23" t="str">
        <f t="shared" si="2"/>
        <v>Around Mid</v>
      </c>
      <c r="S108" s="23">
        <v>3</v>
      </c>
      <c r="T108" s="25">
        <f>INDEX('Merit Matrix'!$B$4:$F$8,
       MATCH($S108,'Merit Matrix'!$A$4:$A$8,0),
       MATCH(TRIM($R108),'Merit Matrix'!$B$3:$F$3,0))</f>
        <v>2.5000000000000001E-2</v>
      </c>
      <c r="U108" s="24">
        <f>Table13[[#This Row],[Salary increase %]]*Table13[[#This Row],[Monthly Gross Salary]]</f>
        <v>1827.4250000000002</v>
      </c>
      <c r="V108" s="23">
        <f>Table13[[#This Row],[Salary increase Amount]]+Table13[[#This Row],[Monthly Gross Salary]]</f>
        <v>74924.425000000003</v>
      </c>
      <c r="W108" s="75">
        <v>0.2</v>
      </c>
      <c r="X108" s="6">
        <f>Table13[[#This Row],[New Gross Salary]]*Table13[[#This Row],[STI %]]</f>
        <v>14984.885000000002</v>
      </c>
      <c r="Y108" s="96">
        <v>1</v>
      </c>
      <c r="Z108" s="6">
        <f>Table13[[#This Row],[Target STI]]*Table13[[#This Row],[Multiplier]]</f>
        <v>14984.885000000002</v>
      </c>
      <c r="AA108" s="26">
        <v>0.3</v>
      </c>
      <c r="AB108" s="21" t="s">
        <v>6</v>
      </c>
      <c r="AC108" s="24">
        <f>(Table13[[#This Row],[New Gross Salary]]+Table13[[#This Row],[Final STI]])*Table13[[#This Row],[Tax %]]</f>
        <v>26972.792999999998</v>
      </c>
      <c r="AD108" s="24">
        <f>Table13[[#This Row],[New Gross Salary]]*5%</f>
        <v>3746.2212500000005</v>
      </c>
      <c r="AE108" s="21" cm="1">
        <f t="array" ref="AE108">_xlfn.XLOOKUP(AB108,{"A","B","C"},{500,800,1200})</f>
        <v>1200</v>
      </c>
      <c r="AF108" s="24">
        <f t="shared" si="3"/>
        <v>31919.01425</v>
      </c>
      <c r="AG108" s="27">
        <f>Table13[[#This Row],[New Gross Salary]]+Table13[[#This Row],[Final STI]]-Table13[[#This Row],[Total Deductions
(Tax+Pension+HP)]]</f>
        <v>57990.295749999997</v>
      </c>
    </row>
    <row r="109" spans="1:33" x14ac:dyDescent="0.2">
      <c r="A109" s="20">
        <v>1108</v>
      </c>
      <c r="B109" s="21" t="s">
        <v>120</v>
      </c>
      <c r="C109" s="21" t="s">
        <v>42</v>
      </c>
      <c r="D109" s="21" t="s">
        <v>555</v>
      </c>
      <c r="E109" s="22">
        <v>44562</v>
      </c>
      <c r="F109" s="21" t="s">
        <v>383</v>
      </c>
      <c r="G109" s="21" t="s">
        <v>522</v>
      </c>
      <c r="H109" s="21" t="s">
        <v>520</v>
      </c>
      <c r="I109" s="5" t="s">
        <v>661</v>
      </c>
      <c r="J109" s="21" t="s">
        <v>533</v>
      </c>
      <c r="K109" s="21" t="s">
        <v>536</v>
      </c>
      <c r="L109" s="23">
        <v>39020</v>
      </c>
      <c r="M109" s="23" t="s">
        <v>673</v>
      </c>
      <c r="N109" s="23">
        <v>30000</v>
      </c>
      <c r="O109" s="23">
        <v>35000</v>
      </c>
      <c r="P109" s="23">
        <v>40000</v>
      </c>
      <c r="Q109" s="24">
        <f>Table13[[#This Row],[Monthly Gross Salary]]/Table13[[#This Row],[Mid]]</f>
        <v>1.1148571428571428</v>
      </c>
      <c r="R109" s="23" t="str">
        <f t="shared" si="2"/>
        <v>Above Mid</v>
      </c>
      <c r="S109" s="23">
        <v>4</v>
      </c>
      <c r="T109" s="25">
        <f>INDEX('Merit Matrix'!$B$4:$F$8,
       MATCH($S109,'Merit Matrix'!$A$4:$A$8,0),
       MATCH(TRIM($R109),'Merit Matrix'!$B$3:$F$3,0))</f>
        <v>0.03</v>
      </c>
      <c r="U109" s="24">
        <f>Table13[[#This Row],[Salary increase %]]*Table13[[#This Row],[Monthly Gross Salary]]</f>
        <v>1170.5999999999999</v>
      </c>
      <c r="V109" s="23">
        <f>Table13[[#This Row],[Salary increase Amount]]+Table13[[#This Row],[Monthly Gross Salary]]</f>
        <v>40190.6</v>
      </c>
      <c r="W109" s="75">
        <v>0.1</v>
      </c>
      <c r="X109" s="6">
        <f>Table13[[#This Row],[New Gross Salary]]*Table13[[#This Row],[STI %]]</f>
        <v>4019.06</v>
      </c>
      <c r="Y109" s="96">
        <v>1.2</v>
      </c>
      <c r="Z109" s="6">
        <f>Table13[[#This Row],[Target STI]]*Table13[[#This Row],[Multiplier]]</f>
        <v>4822.8719999999994</v>
      </c>
      <c r="AA109" s="26">
        <v>0.27</v>
      </c>
      <c r="AB109" s="21" t="s">
        <v>18</v>
      </c>
      <c r="AC109" s="24">
        <f>(Table13[[#This Row],[New Gross Salary]]+Table13[[#This Row],[Final STI]])*Table13[[#This Row],[Tax %]]</f>
        <v>12153.637439999999</v>
      </c>
      <c r="AD109" s="24">
        <f>Table13[[#This Row],[New Gross Salary]]*5%</f>
        <v>2009.53</v>
      </c>
      <c r="AE109" s="21" cm="1">
        <f t="array" ref="AE109">_xlfn.XLOOKUP(AB109,{"A","B","C"},{500,800,1200})</f>
        <v>500</v>
      </c>
      <c r="AF109" s="24">
        <f t="shared" si="3"/>
        <v>14663.167439999999</v>
      </c>
      <c r="AG109" s="27">
        <f>Table13[[#This Row],[New Gross Salary]]+Table13[[#This Row],[Final STI]]-Table13[[#This Row],[Total Deductions
(Tax+Pension+HP)]]</f>
        <v>30350.304559999997</v>
      </c>
    </row>
    <row r="110" spans="1:33" x14ac:dyDescent="0.2">
      <c r="A110" s="20">
        <v>1109</v>
      </c>
      <c r="B110" s="21" t="s">
        <v>121</v>
      </c>
      <c r="C110" s="21" t="s">
        <v>42</v>
      </c>
      <c r="D110" s="21" t="s">
        <v>555</v>
      </c>
      <c r="E110" s="22">
        <v>44562</v>
      </c>
      <c r="F110" s="21" t="s">
        <v>384</v>
      </c>
      <c r="G110" s="21" t="s">
        <v>522</v>
      </c>
      <c r="H110" s="21" t="s">
        <v>520</v>
      </c>
      <c r="I110" s="5" t="s">
        <v>661</v>
      </c>
      <c r="J110" s="21" t="s">
        <v>533</v>
      </c>
      <c r="K110" s="21" t="s">
        <v>536</v>
      </c>
      <c r="L110" s="23">
        <v>33401</v>
      </c>
      <c r="M110" s="23" t="s">
        <v>673</v>
      </c>
      <c r="N110" s="23">
        <v>30000</v>
      </c>
      <c r="O110" s="23">
        <v>35000</v>
      </c>
      <c r="P110" s="23">
        <v>40000</v>
      </c>
      <c r="Q110" s="24">
        <f>Table13[[#This Row],[Monthly Gross Salary]]/Table13[[#This Row],[Mid]]</f>
        <v>0.95431428571428567</v>
      </c>
      <c r="R110" s="23" t="str">
        <f t="shared" si="2"/>
        <v>Around Mid</v>
      </c>
      <c r="S110" s="23">
        <v>4</v>
      </c>
      <c r="T110" s="25">
        <f>INDEX('Merit Matrix'!$B$4:$F$8,
       MATCH($S110,'Merit Matrix'!$A$4:$A$8,0),
       MATCH(TRIM($R110),'Merit Matrix'!$B$3:$F$3,0))</f>
        <v>0.04</v>
      </c>
      <c r="U110" s="24">
        <f>Table13[[#This Row],[Salary increase %]]*Table13[[#This Row],[Monthly Gross Salary]]</f>
        <v>1336.04</v>
      </c>
      <c r="V110" s="23">
        <f>Table13[[#This Row],[Salary increase Amount]]+Table13[[#This Row],[Monthly Gross Salary]]</f>
        <v>34737.040000000001</v>
      </c>
      <c r="W110" s="75">
        <v>0.1</v>
      </c>
      <c r="X110" s="6">
        <f>Table13[[#This Row],[New Gross Salary]]*Table13[[#This Row],[STI %]]</f>
        <v>3473.7040000000002</v>
      </c>
      <c r="Y110" s="96">
        <v>1.2</v>
      </c>
      <c r="Z110" s="6">
        <f>Table13[[#This Row],[Target STI]]*Table13[[#This Row],[Multiplier]]</f>
        <v>4168.4448000000002</v>
      </c>
      <c r="AA110" s="26">
        <v>0.28999999999999998</v>
      </c>
      <c r="AB110" s="21" t="s">
        <v>18</v>
      </c>
      <c r="AC110" s="24">
        <f>(Table13[[#This Row],[New Gross Salary]]+Table13[[#This Row],[Final STI]])*Table13[[#This Row],[Tax %]]</f>
        <v>11282.590591999999</v>
      </c>
      <c r="AD110" s="24">
        <f>Table13[[#This Row],[New Gross Salary]]*5%</f>
        <v>1736.8520000000001</v>
      </c>
      <c r="AE110" s="21" cm="1">
        <f t="array" ref="AE110">_xlfn.XLOOKUP(AB110,{"A","B","C"},{500,800,1200})</f>
        <v>500</v>
      </c>
      <c r="AF110" s="24">
        <f t="shared" si="3"/>
        <v>13519.442591999999</v>
      </c>
      <c r="AG110" s="27">
        <f>Table13[[#This Row],[New Gross Salary]]+Table13[[#This Row],[Final STI]]-Table13[[#This Row],[Total Deductions
(Tax+Pension+HP)]]</f>
        <v>25386.042207999999</v>
      </c>
    </row>
    <row r="111" spans="1:33" x14ac:dyDescent="0.2">
      <c r="A111" s="20">
        <v>1110</v>
      </c>
      <c r="B111" s="21" t="s">
        <v>122</v>
      </c>
      <c r="C111" s="21" t="s">
        <v>14</v>
      </c>
      <c r="D111" s="21" t="s">
        <v>628</v>
      </c>
      <c r="E111" s="22">
        <v>45292</v>
      </c>
      <c r="F111" s="21" t="s">
        <v>385</v>
      </c>
      <c r="G111" s="21" t="s">
        <v>523</v>
      </c>
      <c r="H111" s="21" t="s">
        <v>520</v>
      </c>
      <c r="I111" s="5" t="s">
        <v>661</v>
      </c>
      <c r="J111" s="21" t="s">
        <v>535</v>
      </c>
      <c r="K111" s="21" t="s">
        <v>538</v>
      </c>
      <c r="L111" s="23">
        <v>45304</v>
      </c>
      <c r="M111" s="23" t="s">
        <v>673</v>
      </c>
      <c r="N111" s="23">
        <v>38000</v>
      </c>
      <c r="O111" s="23">
        <v>50000</v>
      </c>
      <c r="P111" s="23">
        <v>56000</v>
      </c>
      <c r="Q111" s="24">
        <f>Table13[[#This Row],[Monthly Gross Salary]]/Table13[[#This Row],[Mid]]</f>
        <v>0.90608</v>
      </c>
      <c r="R111" s="23" t="str">
        <f t="shared" si="2"/>
        <v>Below Mid</v>
      </c>
      <c r="S111" s="23">
        <v>3</v>
      </c>
      <c r="T111" s="25">
        <f>INDEX('Merit Matrix'!$B$4:$F$8,
       MATCH($S111,'Merit Matrix'!$A$4:$A$8,0),
       MATCH(TRIM($R111),'Merit Matrix'!$B$3:$F$3,0))</f>
        <v>0.03</v>
      </c>
      <c r="U111" s="24">
        <f>Table13[[#This Row],[Salary increase %]]*Table13[[#This Row],[Monthly Gross Salary]]</f>
        <v>1359.12</v>
      </c>
      <c r="V111" s="23">
        <f>Table13[[#This Row],[Salary increase Amount]]+Table13[[#This Row],[Monthly Gross Salary]]</f>
        <v>46663.12</v>
      </c>
      <c r="W111" s="75">
        <v>0.15</v>
      </c>
      <c r="X111" s="6">
        <f>Table13[[#This Row],[New Gross Salary]]*Table13[[#This Row],[STI %]]</f>
        <v>6999.4679999999998</v>
      </c>
      <c r="Y111" s="96">
        <v>1</v>
      </c>
      <c r="Z111" s="6">
        <f>Table13[[#This Row],[Target STI]]*Table13[[#This Row],[Multiplier]]</f>
        <v>6999.4679999999998</v>
      </c>
      <c r="AA111" s="26">
        <v>0.31</v>
      </c>
      <c r="AB111" s="21" t="s">
        <v>6</v>
      </c>
      <c r="AC111" s="24">
        <f>(Table13[[#This Row],[New Gross Salary]]+Table13[[#This Row],[Final STI]])*Table13[[#This Row],[Tax %]]</f>
        <v>16635.402280000002</v>
      </c>
      <c r="AD111" s="24">
        <f>Table13[[#This Row],[New Gross Salary]]*5%</f>
        <v>2333.1560000000004</v>
      </c>
      <c r="AE111" s="21" cm="1">
        <f t="array" ref="AE111">_xlfn.XLOOKUP(AB111,{"A","B","C"},{500,800,1200})</f>
        <v>1200</v>
      </c>
      <c r="AF111" s="24">
        <f t="shared" si="3"/>
        <v>20168.558280000001</v>
      </c>
      <c r="AG111" s="27">
        <f>Table13[[#This Row],[New Gross Salary]]+Table13[[#This Row],[Final STI]]-Table13[[#This Row],[Total Deductions
(Tax+Pension+HP)]]</f>
        <v>33494.029720000006</v>
      </c>
    </row>
    <row r="112" spans="1:33" x14ac:dyDescent="0.2">
      <c r="A112" s="20">
        <v>1111</v>
      </c>
      <c r="B112" s="21" t="s">
        <v>123</v>
      </c>
      <c r="C112" s="21" t="s">
        <v>14</v>
      </c>
      <c r="D112" s="21" t="s">
        <v>628</v>
      </c>
      <c r="E112" s="22">
        <v>45292</v>
      </c>
      <c r="F112" s="21" t="s">
        <v>386</v>
      </c>
      <c r="G112" s="21" t="s">
        <v>523</v>
      </c>
      <c r="H112" s="21" t="s">
        <v>520</v>
      </c>
      <c r="I112" s="5" t="s">
        <v>661</v>
      </c>
      <c r="J112" s="21" t="s">
        <v>535</v>
      </c>
      <c r="K112" s="21" t="s">
        <v>538</v>
      </c>
      <c r="L112" s="23">
        <v>45304</v>
      </c>
      <c r="M112" s="23" t="s">
        <v>673</v>
      </c>
      <c r="N112" s="23">
        <v>38000</v>
      </c>
      <c r="O112" s="23">
        <v>50000</v>
      </c>
      <c r="P112" s="23">
        <v>56000</v>
      </c>
      <c r="Q112" s="24">
        <f>Table13[[#This Row],[Monthly Gross Salary]]/Table13[[#This Row],[Mid]]</f>
        <v>0.90608</v>
      </c>
      <c r="R112" s="23" t="str">
        <f t="shared" si="2"/>
        <v>Below Mid</v>
      </c>
      <c r="S112" s="23">
        <v>3</v>
      </c>
      <c r="T112" s="25">
        <f>INDEX('Merit Matrix'!$B$4:$F$8,
       MATCH($S112,'Merit Matrix'!$A$4:$A$8,0),
       MATCH(TRIM($R112),'Merit Matrix'!$B$3:$F$3,0))</f>
        <v>0.03</v>
      </c>
      <c r="U112" s="24">
        <f>Table13[[#This Row],[Salary increase %]]*Table13[[#This Row],[Monthly Gross Salary]]</f>
        <v>1359.12</v>
      </c>
      <c r="V112" s="23">
        <f>Table13[[#This Row],[Salary increase Amount]]+Table13[[#This Row],[Monthly Gross Salary]]</f>
        <v>46663.12</v>
      </c>
      <c r="W112" s="75">
        <v>0.15</v>
      </c>
      <c r="X112" s="6">
        <f>Table13[[#This Row],[New Gross Salary]]*Table13[[#This Row],[STI %]]</f>
        <v>6999.4679999999998</v>
      </c>
      <c r="Y112" s="96">
        <v>1</v>
      </c>
      <c r="Z112" s="6">
        <f>Table13[[#This Row],[Target STI]]*Table13[[#This Row],[Multiplier]]</f>
        <v>6999.4679999999998</v>
      </c>
      <c r="AA112" s="26">
        <v>0.28000000000000003</v>
      </c>
      <c r="AB112" s="21" t="s">
        <v>18</v>
      </c>
      <c r="AC112" s="24">
        <f>(Table13[[#This Row],[New Gross Salary]]+Table13[[#This Row],[Final STI]])*Table13[[#This Row],[Tax %]]</f>
        <v>15025.524640000003</v>
      </c>
      <c r="AD112" s="24">
        <f>Table13[[#This Row],[New Gross Salary]]*5%</f>
        <v>2333.1560000000004</v>
      </c>
      <c r="AE112" s="21" cm="1">
        <f t="array" ref="AE112">_xlfn.XLOOKUP(AB112,{"A","B","C"},{500,800,1200})</f>
        <v>500</v>
      </c>
      <c r="AF112" s="24">
        <f t="shared" si="3"/>
        <v>17858.680640000002</v>
      </c>
      <c r="AG112" s="27">
        <f>Table13[[#This Row],[New Gross Salary]]+Table13[[#This Row],[Final STI]]-Table13[[#This Row],[Total Deductions
(Tax+Pension+HP)]]</f>
        <v>35803.907359999997</v>
      </c>
    </row>
    <row r="113" spans="1:33" x14ac:dyDescent="0.2">
      <c r="A113" s="20">
        <v>1112</v>
      </c>
      <c r="B113" s="21" t="s">
        <v>124</v>
      </c>
      <c r="C113" s="21" t="s">
        <v>17</v>
      </c>
      <c r="D113" s="21" t="s">
        <v>559</v>
      </c>
      <c r="E113" s="22">
        <v>43831</v>
      </c>
      <c r="F113" s="21" t="s">
        <v>387</v>
      </c>
      <c r="G113" s="21" t="s">
        <v>522</v>
      </c>
      <c r="H113" s="21" t="s">
        <v>520</v>
      </c>
      <c r="I113" s="5" t="s">
        <v>661</v>
      </c>
      <c r="J113" s="21" t="s">
        <v>532</v>
      </c>
      <c r="K113" s="21" t="s">
        <v>539</v>
      </c>
      <c r="L113" s="23">
        <v>73097</v>
      </c>
      <c r="M113" s="23" t="s">
        <v>673</v>
      </c>
      <c r="N113" s="23">
        <v>55000</v>
      </c>
      <c r="O113" s="23">
        <v>75000</v>
      </c>
      <c r="P113" s="23">
        <v>85000</v>
      </c>
      <c r="Q113" s="24">
        <f>Table13[[#This Row],[Monthly Gross Salary]]/Table13[[#This Row],[Mid]]</f>
        <v>0.97462666666666664</v>
      </c>
      <c r="R113" s="23" t="str">
        <f t="shared" si="2"/>
        <v>Around Mid</v>
      </c>
      <c r="S113" s="23">
        <v>4</v>
      </c>
      <c r="T113" s="25">
        <f>INDEX('Merit Matrix'!$B$4:$F$8,
       MATCH($S113,'Merit Matrix'!$A$4:$A$8,0),
       MATCH(TRIM($R113),'Merit Matrix'!$B$3:$F$3,0))</f>
        <v>0.04</v>
      </c>
      <c r="U113" s="24">
        <f>Table13[[#This Row],[Salary increase %]]*Table13[[#This Row],[Monthly Gross Salary]]</f>
        <v>2923.88</v>
      </c>
      <c r="V113" s="23">
        <f>Table13[[#This Row],[Salary increase Amount]]+Table13[[#This Row],[Monthly Gross Salary]]</f>
        <v>76020.88</v>
      </c>
      <c r="W113" s="75">
        <v>0.2</v>
      </c>
      <c r="X113" s="6">
        <f>Table13[[#This Row],[New Gross Salary]]*Table13[[#This Row],[STI %]]</f>
        <v>15204.176000000001</v>
      </c>
      <c r="Y113" s="96">
        <v>1.2</v>
      </c>
      <c r="Z113" s="6">
        <f>Table13[[#This Row],[Target STI]]*Table13[[#This Row],[Multiplier]]</f>
        <v>18245.011200000001</v>
      </c>
      <c r="AA113" s="26">
        <v>0.32</v>
      </c>
      <c r="AB113" s="21" t="s">
        <v>18</v>
      </c>
      <c r="AC113" s="24">
        <f>(Table13[[#This Row],[New Gross Salary]]+Table13[[#This Row],[Final STI]])*Table13[[#This Row],[Tax %]]</f>
        <v>30165.085184000003</v>
      </c>
      <c r="AD113" s="24">
        <f>Table13[[#This Row],[New Gross Salary]]*5%</f>
        <v>3801.0440000000003</v>
      </c>
      <c r="AE113" s="21" cm="1">
        <f t="array" ref="AE113">_xlfn.XLOOKUP(AB113,{"A","B","C"},{500,800,1200})</f>
        <v>500</v>
      </c>
      <c r="AF113" s="24">
        <f t="shared" si="3"/>
        <v>34466.129184000005</v>
      </c>
      <c r="AG113" s="27">
        <f>Table13[[#This Row],[New Gross Salary]]+Table13[[#This Row],[Final STI]]-Table13[[#This Row],[Total Deductions
(Tax+Pension+HP)]]</f>
        <v>59799.762016000008</v>
      </c>
    </row>
    <row r="114" spans="1:33" x14ac:dyDescent="0.2">
      <c r="A114" s="20">
        <v>1113</v>
      </c>
      <c r="B114" s="21" t="s">
        <v>125</v>
      </c>
      <c r="C114" s="21" t="s">
        <v>11</v>
      </c>
      <c r="D114" s="21" t="s">
        <v>529</v>
      </c>
      <c r="E114" s="22">
        <v>43831</v>
      </c>
      <c r="F114" s="21" t="s">
        <v>388</v>
      </c>
      <c r="G114" s="21" t="s">
        <v>523</v>
      </c>
      <c r="H114" s="21" t="s">
        <v>520</v>
      </c>
      <c r="I114" s="5" t="s">
        <v>661</v>
      </c>
      <c r="J114" s="21" t="s">
        <v>532</v>
      </c>
      <c r="K114" s="21" t="s">
        <v>540</v>
      </c>
      <c r="L114" s="23">
        <v>85007</v>
      </c>
      <c r="M114" s="23" t="s">
        <v>673</v>
      </c>
      <c r="N114" s="23">
        <v>58000</v>
      </c>
      <c r="O114" s="23">
        <v>75000</v>
      </c>
      <c r="P114" s="23">
        <v>87000</v>
      </c>
      <c r="Q114" s="24">
        <f>Table13[[#This Row],[Monthly Gross Salary]]/Table13[[#This Row],[Mid]]</f>
        <v>1.1334266666666666</v>
      </c>
      <c r="R114" s="23" t="str">
        <f t="shared" si="2"/>
        <v>Above Mid</v>
      </c>
      <c r="S114" s="23">
        <v>3</v>
      </c>
      <c r="T114" s="25">
        <f>INDEX('Merit Matrix'!$B$4:$F$8,
       MATCH($S114,'Merit Matrix'!$A$4:$A$8,0),
       MATCH(TRIM($R114),'Merit Matrix'!$B$3:$F$3,0))</f>
        <v>0.02</v>
      </c>
      <c r="U114" s="24">
        <f>Table13[[#This Row],[Salary increase %]]*Table13[[#This Row],[Monthly Gross Salary]]</f>
        <v>1700.14</v>
      </c>
      <c r="V114" s="23">
        <f>Table13[[#This Row],[Salary increase Amount]]+Table13[[#This Row],[Monthly Gross Salary]]</f>
        <v>86707.14</v>
      </c>
      <c r="W114" s="75">
        <v>0.2</v>
      </c>
      <c r="X114" s="6">
        <f>Table13[[#This Row],[New Gross Salary]]*Table13[[#This Row],[STI %]]</f>
        <v>17341.428</v>
      </c>
      <c r="Y114" s="96">
        <v>1</v>
      </c>
      <c r="Z114" s="6">
        <f>Table13[[#This Row],[Target STI]]*Table13[[#This Row],[Multiplier]]</f>
        <v>17341.428</v>
      </c>
      <c r="AA114" s="26">
        <v>0.32</v>
      </c>
      <c r="AB114" s="21" t="s">
        <v>6</v>
      </c>
      <c r="AC114" s="24">
        <f>(Table13[[#This Row],[New Gross Salary]]+Table13[[#This Row],[Final STI]])*Table13[[#This Row],[Tax %]]</f>
        <v>33295.54176</v>
      </c>
      <c r="AD114" s="24">
        <f>Table13[[#This Row],[New Gross Salary]]*5%</f>
        <v>4335.357</v>
      </c>
      <c r="AE114" s="21" cm="1">
        <f t="array" ref="AE114">_xlfn.XLOOKUP(AB114,{"A","B","C"},{500,800,1200})</f>
        <v>1200</v>
      </c>
      <c r="AF114" s="24">
        <f t="shared" si="3"/>
        <v>38830.898759999996</v>
      </c>
      <c r="AG114" s="27">
        <f>Table13[[#This Row],[New Gross Salary]]+Table13[[#This Row],[Final STI]]-Table13[[#This Row],[Total Deductions
(Tax+Pension+HP)]]</f>
        <v>65217.669240000003</v>
      </c>
    </row>
    <row r="115" spans="1:33" x14ac:dyDescent="0.2">
      <c r="A115" s="20">
        <v>1114</v>
      </c>
      <c r="B115" s="21" t="s">
        <v>126</v>
      </c>
      <c r="C115" s="21" t="s">
        <v>5</v>
      </c>
      <c r="D115" s="21" t="s">
        <v>549</v>
      </c>
      <c r="E115" s="22">
        <v>45292</v>
      </c>
      <c r="F115" s="21" t="s">
        <v>389</v>
      </c>
      <c r="G115" s="21" t="s">
        <v>523</v>
      </c>
      <c r="H115" s="21" t="s">
        <v>520</v>
      </c>
      <c r="I115" s="5" t="s">
        <v>661</v>
      </c>
      <c r="J115" s="21" t="s">
        <v>535</v>
      </c>
      <c r="K115" s="21" t="s">
        <v>538</v>
      </c>
      <c r="L115" s="23">
        <v>47000</v>
      </c>
      <c r="M115" s="23" t="s">
        <v>673</v>
      </c>
      <c r="N115" s="23">
        <v>38000</v>
      </c>
      <c r="O115" s="23">
        <v>50000</v>
      </c>
      <c r="P115" s="23">
        <v>56000</v>
      </c>
      <c r="Q115" s="24">
        <f>Table13[[#This Row],[Monthly Gross Salary]]/Table13[[#This Row],[Mid]]</f>
        <v>0.94</v>
      </c>
      <c r="R115" s="23" t="str">
        <f t="shared" si="2"/>
        <v>Below Mid</v>
      </c>
      <c r="S115" s="23">
        <v>3</v>
      </c>
      <c r="T115" s="25">
        <f>INDEX('Merit Matrix'!$B$4:$F$8,
       MATCH($S115,'Merit Matrix'!$A$4:$A$8,0),
       MATCH(TRIM($R115),'Merit Matrix'!$B$3:$F$3,0))</f>
        <v>0.03</v>
      </c>
      <c r="U115" s="24">
        <f>Table13[[#This Row],[Salary increase %]]*Table13[[#This Row],[Monthly Gross Salary]]</f>
        <v>1410</v>
      </c>
      <c r="V115" s="23">
        <f>Table13[[#This Row],[Salary increase Amount]]+Table13[[#This Row],[Monthly Gross Salary]]</f>
        <v>48410</v>
      </c>
      <c r="W115" s="75">
        <v>0.15</v>
      </c>
      <c r="X115" s="6">
        <f>Table13[[#This Row],[New Gross Salary]]*Table13[[#This Row],[STI %]]</f>
        <v>7261.5</v>
      </c>
      <c r="Y115" s="96">
        <v>1</v>
      </c>
      <c r="Z115" s="6">
        <f>Table13[[#This Row],[Target STI]]*Table13[[#This Row],[Multiplier]]</f>
        <v>7261.5</v>
      </c>
      <c r="AA115" s="26">
        <v>0.3</v>
      </c>
      <c r="AB115" s="21" t="s">
        <v>9</v>
      </c>
      <c r="AC115" s="24">
        <f>(Table13[[#This Row],[New Gross Salary]]+Table13[[#This Row],[Final STI]])*Table13[[#This Row],[Tax %]]</f>
        <v>16701.45</v>
      </c>
      <c r="AD115" s="24">
        <f>Table13[[#This Row],[New Gross Salary]]*5%</f>
        <v>2420.5</v>
      </c>
      <c r="AE115" s="21" cm="1">
        <f t="array" ref="AE115">_xlfn.XLOOKUP(AB115,{"A","B","C"},{500,800,1200})</f>
        <v>800</v>
      </c>
      <c r="AF115" s="24">
        <f t="shared" si="3"/>
        <v>19921.95</v>
      </c>
      <c r="AG115" s="27">
        <f>Table13[[#This Row],[New Gross Salary]]+Table13[[#This Row],[Final STI]]-Table13[[#This Row],[Total Deductions
(Tax+Pension+HP)]]</f>
        <v>35749.550000000003</v>
      </c>
    </row>
    <row r="116" spans="1:33" x14ac:dyDescent="0.2">
      <c r="A116" s="20">
        <v>1115</v>
      </c>
      <c r="B116" s="21" t="s">
        <v>127</v>
      </c>
      <c r="C116" s="21" t="s">
        <v>17</v>
      </c>
      <c r="D116" s="21" t="s">
        <v>559</v>
      </c>
      <c r="E116" s="22">
        <v>43831</v>
      </c>
      <c r="F116" s="21" t="s">
        <v>390</v>
      </c>
      <c r="G116" s="21" t="s">
        <v>522</v>
      </c>
      <c r="H116" s="21" t="s">
        <v>520</v>
      </c>
      <c r="I116" s="5" t="s">
        <v>661</v>
      </c>
      <c r="J116" s="21" t="s">
        <v>532</v>
      </c>
      <c r="K116" s="21" t="s">
        <v>539</v>
      </c>
      <c r="L116" s="23">
        <v>73097</v>
      </c>
      <c r="M116" s="23" t="s">
        <v>673</v>
      </c>
      <c r="N116" s="23">
        <v>55000</v>
      </c>
      <c r="O116" s="23">
        <v>75000</v>
      </c>
      <c r="P116" s="23">
        <v>85000</v>
      </c>
      <c r="Q116" s="24">
        <f>Table13[[#This Row],[Monthly Gross Salary]]/Table13[[#This Row],[Mid]]</f>
        <v>0.97462666666666664</v>
      </c>
      <c r="R116" s="23" t="str">
        <f t="shared" si="2"/>
        <v>Around Mid</v>
      </c>
      <c r="S116" s="23">
        <v>4</v>
      </c>
      <c r="T116" s="25">
        <f>INDEX('Merit Matrix'!$B$4:$F$8,
       MATCH($S116,'Merit Matrix'!$A$4:$A$8,0),
       MATCH(TRIM($R116),'Merit Matrix'!$B$3:$F$3,0))</f>
        <v>0.04</v>
      </c>
      <c r="U116" s="24">
        <f>Table13[[#This Row],[Salary increase %]]*Table13[[#This Row],[Monthly Gross Salary]]</f>
        <v>2923.88</v>
      </c>
      <c r="V116" s="23">
        <f>Table13[[#This Row],[Salary increase Amount]]+Table13[[#This Row],[Monthly Gross Salary]]</f>
        <v>76020.88</v>
      </c>
      <c r="W116" s="75">
        <v>0.2</v>
      </c>
      <c r="X116" s="6">
        <f>Table13[[#This Row],[New Gross Salary]]*Table13[[#This Row],[STI %]]</f>
        <v>15204.176000000001</v>
      </c>
      <c r="Y116" s="96">
        <v>1.2</v>
      </c>
      <c r="Z116" s="6">
        <f>Table13[[#This Row],[Target STI]]*Table13[[#This Row],[Multiplier]]</f>
        <v>18245.011200000001</v>
      </c>
      <c r="AA116" s="26">
        <v>0.32</v>
      </c>
      <c r="AB116" s="21" t="s">
        <v>18</v>
      </c>
      <c r="AC116" s="24">
        <f>(Table13[[#This Row],[New Gross Salary]]+Table13[[#This Row],[Final STI]])*Table13[[#This Row],[Tax %]]</f>
        <v>30165.085184000003</v>
      </c>
      <c r="AD116" s="24">
        <f>Table13[[#This Row],[New Gross Salary]]*5%</f>
        <v>3801.0440000000003</v>
      </c>
      <c r="AE116" s="21" cm="1">
        <f t="array" ref="AE116">_xlfn.XLOOKUP(AB116,{"A","B","C"},{500,800,1200})</f>
        <v>500</v>
      </c>
      <c r="AF116" s="24">
        <f t="shared" si="3"/>
        <v>34466.129184000005</v>
      </c>
      <c r="AG116" s="27">
        <f>Table13[[#This Row],[New Gross Salary]]+Table13[[#This Row],[Final STI]]-Table13[[#This Row],[Total Deductions
(Tax+Pension+HP)]]</f>
        <v>59799.762016000008</v>
      </c>
    </row>
    <row r="117" spans="1:33" x14ac:dyDescent="0.2">
      <c r="A117" s="20">
        <v>1116</v>
      </c>
      <c r="B117" s="21" t="s">
        <v>128</v>
      </c>
      <c r="C117" s="21" t="s">
        <v>11</v>
      </c>
      <c r="D117" s="21" t="s">
        <v>529</v>
      </c>
      <c r="E117" s="22">
        <v>43831</v>
      </c>
      <c r="F117" s="21" t="s">
        <v>391</v>
      </c>
      <c r="G117" s="21" t="s">
        <v>523</v>
      </c>
      <c r="H117" s="21" t="s">
        <v>520</v>
      </c>
      <c r="I117" s="5" t="s">
        <v>661</v>
      </c>
      <c r="J117" s="21" t="s">
        <v>532</v>
      </c>
      <c r="K117" s="21" t="s">
        <v>540</v>
      </c>
      <c r="L117" s="23">
        <v>85007</v>
      </c>
      <c r="M117" s="23" t="s">
        <v>673</v>
      </c>
      <c r="N117" s="23">
        <v>58000</v>
      </c>
      <c r="O117" s="23">
        <v>75000</v>
      </c>
      <c r="P117" s="23">
        <v>87000</v>
      </c>
      <c r="Q117" s="24">
        <f>Table13[[#This Row],[Monthly Gross Salary]]/Table13[[#This Row],[Mid]]</f>
        <v>1.1334266666666666</v>
      </c>
      <c r="R117" s="23" t="str">
        <f t="shared" si="2"/>
        <v>Above Mid</v>
      </c>
      <c r="S117" s="23">
        <v>3</v>
      </c>
      <c r="T117" s="25">
        <f>INDEX('Merit Matrix'!$B$4:$F$8,
       MATCH($S117,'Merit Matrix'!$A$4:$A$8,0),
       MATCH(TRIM($R117),'Merit Matrix'!$B$3:$F$3,0))</f>
        <v>0.02</v>
      </c>
      <c r="U117" s="24">
        <f>Table13[[#This Row],[Salary increase %]]*Table13[[#This Row],[Monthly Gross Salary]]</f>
        <v>1700.14</v>
      </c>
      <c r="V117" s="23">
        <f>Table13[[#This Row],[Salary increase Amount]]+Table13[[#This Row],[Monthly Gross Salary]]</f>
        <v>86707.14</v>
      </c>
      <c r="W117" s="75">
        <v>0.2</v>
      </c>
      <c r="X117" s="6">
        <f>Table13[[#This Row],[New Gross Salary]]*Table13[[#This Row],[STI %]]</f>
        <v>17341.428</v>
      </c>
      <c r="Y117" s="96">
        <v>1</v>
      </c>
      <c r="Z117" s="6">
        <f>Table13[[#This Row],[Target STI]]*Table13[[#This Row],[Multiplier]]</f>
        <v>17341.428</v>
      </c>
      <c r="AA117" s="26">
        <v>0.32</v>
      </c>
      <c r="AB117" s="21" t="s">
        <v>18</v>
      </c>
      <c r="AC117" s="24">
        <f>(Table13[[#This Row],[New Gross Salary]]+Table13[[#This Row],[Final STI]])*Table13[[#This Row],[Tax %]]</f>
        <v>33295.54176</v>
      </c>
      <c r="AD117" s="24">
        <f>Table13[[#This Row],[New Gross Salary]]*5%</f>
        <v>4335.357</v>
      </c>
      <c r="AE117" s="21" cm="1">
        <f t="array" ref="AE117">_xlfn.XLOOKUP(AB117,{"A","B","C"},{500,800,1200})</f>
        <v>500</v>
      </c>
      <c r="AF117" s="24">
        <f t="shared" si="3"/>
        <v>38130.898759999996</v>
      </c>
      <c r="AG117" s="27">
        <f>Table13[[#This Row],[New Gross Salary]]+Table13[[#This Row],[Final STI]]-Table13[[#This Row],[Total Deductions
(Tax+Pension+HP)]]</f>
        <v>65917.669240000003</v>
      </c>
    </row>
    <row r="118" spans="1:33" x14ac:dyDescent="0.2">
      <c r="A118" s="20">
        <v>1117</v>
      </c>
      <c r="B118" s="21" t="s">
        <v>129</v>
      </c>
      <c r="C118" s="21" t="s">
        <v>14</v>
      </c>
      <c r="D118" s="21" t="s">
        <v>628</v>
      </c>
      <c r="E118" s="22">
        <v>45292</v>
      </c>
      <c r="F118" s="21" t="s">
        <v>392</v>
      </c>
      <c r="G118" s="21" t="s">
        <v>523</v>
      </c>
      <c r="H118" s="21" t="s">
        <v>520</v>
      </c>
      <c r="I118" s="5" t="s">
        <v>661</v>
      </c>
      <c r="J118" s="21" t="s">
        <v>535</v>
      </c>
      <c r="K118" s="21" t="s">
        <v>538</v>
      </c>
      <c r="L118" s="23">
        <v>47000</v>
      </c>
      <c r="M118" s="23" t="s">
        <v>673</v>
      </c>
      <c r="N118" s="23">
        <v>38000</v>
      </c>
      <c r="O118" s="23">
        <v>50000</v>
      </c>
      <c r="P118" s="23">
        <v>56000</v>
      </c>
      <c r="Q118" s="24">
        <f>Table13[[#This Row],[Monthly Gross Salary]]/Table13[[#This Row],[Mid]]</f>
        <v>0.94</v>
      </c>
      <c r="R118" s="23" t="str">
        <f t="shared" si="2"/>
        <v>Below Mid</v>
      </c>
      <c r="S118" s="23">
        <v>3</v>
      </c>
      <c r="T118" s="25">
        <f>INDEX('Merit Matrix'!$B$4:$F$8,
       MATCH($S118,'Merit Matrix'!$A$4:$A$8,0),
       MATCH(TRIM($R118),'Merit Matrix'!$B$3:$F$3,0))</f>
        <v>0.03</v>
      </c>
      <c r="U118" s="24">
        <f>Table13[[#This Row],[Salary increase %]]*Table13[[#This Row],[Monthly Gross Salary]]</f>
        <v>1410</v>
      </c>
      <c r="V118" s="23">
        <f>Table13[[#This Row],[Salary increase Amount]]+Table13[[#This Row],[Monthly Gross Salary]]</f>
        <v>48410</v>
      </c>
      <c r="W118" s="75">
        <v>0.15</v>
      </c>
      <c r="X118" s="6">
        <f>Table13[[#This Row],[New Gross Salary]]*Table13[[#This Row],[STI %]]</f>
        <v>7261.5</v>
      </c>
      <c r="Y118" s="96">
        <v>1</v>
      </c>
      <c r="Z118" s="6">
        <f>Table13[[#This Row],[Target STI]]*Table13[[#This Row],[Multiplier]]</f>
        <v>7261.5</v>
      </c>
      <c r="AA118" s="26">
        <v>0.28000000000000003</v>
      </c>
      <c r="AB118" s="21" t="s">
        <v>6</v>
      </c>
      <c r="AC118" s="24">
        <f>(Table13[[#This Row],[New Gross Salary]]+Table13[[#This Row],[Final STI]])*Table13[[#This Row],[Tax %]]</f>
        <v>15588.020000000002</v>
      </c>
      <c r="AD118" s="24">
        <f>Table13[[#This Row],[New Gross Salary]]*5%</f>
        <v>2420.5</v>
      </c>
      <c r="AE118" s="21" cm="1">
        <f t="array" ref="AE118">_xlfn.XLOOKUP(AB118,{"A","B","C"},{500,800,1200})</f>
        <v>1200</v>
      </c>
      <c r="AF118" s="24">
        <f t="shared" si="3"/>
        <v>19208.520000000004</v>
      </c>
      <c r="AG118" s="27">
        <f>Table13[[#This Row],[New Gross Salary]]+Table13[[#This Row],[Final STI]]-Table13[[#This Row],[Total Deductions
(Tax+Pension+HP)]]</f>
        <v>36462.979999999996</v>
      </c>
    </row>
    <row r="119" spans="1:33" x14ac:dyDescent="0.2">
      <c r="A119" s="20">
        <v>1118</v>
      </c>
      <c r="B119" s="21" t="s">
        <v>130</v>
      </c>
      <c r="C119" s="21" t="s">
        <v>5</v>
      </c>
      <c r="D119" s="21" t="s">
        <v>549</v>
      </c>
      <c r="E119" s="22">
        <v>45292</v>
      </c>
      <c r="F119" s="21" t="s">
        <v>393</v>
      </c>
      <c r="G119" s="21" t="s">
        <v>523</v>
      </c>
      <c r="H119" s="21" t="s">
        <v>520</v>
      </c>
      <c r="I119" s="5" t="s">
        <v>661</v>
      </c>
      <c r="J119" s="21" t="s">
        <v>535</v>
      </c>
      <c r="K119" s="21" t="s">
        <v>538</v>
      </c>
      <c r="L119" s="23">
        <v>47000</v>
      </c>
      <c r="M119" s="23" t="s">
        <v>673</v>
      </c>
      <c r="N119" s="23">
        <v>38000</v>
      </c>
      <c r="O119" s="23">
        <v>50000</v>
      </c>
      <c r="P119" s="23">
        <v>56000</v>
      </c>
      <c r="Q119" s="24">
        <f>Table13[[#This Row],[Monthly Gross Salary]]/Table13[[#This Row],[Mid]]</f>
        <v>0.94</v>
      </c>
      <c r="R119" s="23" t="str">
        <f t="shared" si="2"/>
        <v>Below Mid</v>
      </c>
      <c r="S119" s="23">
        <v>3</v>
      </c>
      <c r="T119" s="25">
        <f>INDEX('Merit Matrix'!$B$4:$F$8,
       MATCH($S119,'Merit Matrix'!$A$4:$A$8,0),
       MATCH(TRIM($R119),'Merit Matrix'!$B$3:$F$3,0))</f>
        <v>0.03</v>
      </c>
      <c r="U119" s="24">
        <f>Table13[[#This Row],[Salary increase %]]*Table13[[#This Row],[Monthly Gross Salary]]</f>
        <v>1410</v>
      </c>
      <c r="V119" s="23">
        <f>Table13[[#This Row],[Salary increase Amount]]+Table13[[#This Row],[Monthly Gross Salary]]</f>
        <v>48410</v>
      </c>
      <c r="W119" s="75">
        <v>0.15</v>
      </c>
      <c r="X119" s="6">
        <f>Table13[[#This Row],[New Gross Salary]]*Table13[[#This Row],[STI %]]</f>
        <v>7261.5</v>
      </c>
      <c r="Y119" s="96">
        <v>1</v>
      </c>
      <c r="Z119" s="6">
        <f>Table13[[#This Row],[Target STI]]*Table13[[#This Row],[Multiplier]]</f>
        <v>7261.5</v>
      </c>
      <c r="AA119" s="26">
        <v>0.27</v>
      </c>
      <c r="AB119" s="21" t="s">
        <v>18</v>
      </c>
      <c r="AC119" s="24">
        <f>(Table13[[#This Row],[New Gross Salary]]+Table13[[#This Row],[Final STI]])*Table13[[#This Row],[Tax %]]</f>
        <v>15031.305</v>
      </c>
      <c r="AD119" s="24">
        <f>Table13[[#This Row],[New Gross Salary]]*5%</f>
        <v>2420.5</v>
      </c>
      <c r="AE119" s="21" cm="1">
        <f t="array" ref="AE119">_xlfn.XLOOKUP(AB119,{"A","B","C"},{500,800,1200})</f>
        <v>500</v>
      </c>
      <c r="AF119" s="24">
        <f t="shared" si="3"/>
        <v>17951.805</v>
      </c>
      <c r="AG119" s="27">
        <f>Table13[[#This Row],[New Gross Salary]]+Table13[[#This Row],[Final STI]]-Table13[[#This Row],[Total Deductions
(Tax+Pension+HP)]]</f>
        <v>37719.695</v>
      </c>
    </row>
    <row r="120" spans="1:33" x14ac:dyDescent="0.2">
      <c r="A120" s="20">
        <v>1119</v>
      </c>
      <c r="B120" s="21" t="s">
        <v>131</v>
      </c>
      <c r="C120" s="21" t="s">
        <v>8</v>
      </c>
      <c r="D120" s="21" t="s">
        <v>543</v>
      </c>
      <c r="E120" s="22">
        <v>43831</v>
      </c>
      <c r="F120" s="21" t="s">
        <v>394</v>
      </c>
      <c r="G120" s="21" t="s">
        <v>523</v>
      </c>
      <c r="H120" s="21" t="s">
        <v>520</v>
      </c>
      <c r="I120" s="5" t="s">
        <v>661</v>
      </c>
      <c r="J120" s="21" t="s">
        <v>532</v>
      </c>
      <c r="K120" s="21" t="s">
        <v>539</v>
      </c>
      <c r="L120" s="23">
        <v>72351</v>
      </c>
      <c r="M120" s="23" t="s">
        <v>673</v>
      </c>
      <c r="N120" s="23">
        <v>55000</v>
      </c>
      <c r="O120" s="23">
        <v>75000</v>
      </c>
      <c r="P120" s="23">
        <v>85000</v>
      </c>
      <c r="Q120" s="24">
        <f>Table13[[#This Row],[Monthly Gross Salary]]/Table13[[#This Row],[Mid]]</f>
        <v>0.96467999999999998</v>
      </c>
      <c r="R120" s="23" t="str">
        <f t="shared" si="2"/>
        <v>Around Mid</v>
      </c>
      <c r="S120" s="23">
        <v>3</v>
      </c>
      <c r="T120" s="25">
        <f>INDEX('Merit Matrix'!$B$4:$F$8,
       MATCH($S120,'Merit Matrix'!$A$4:$A$8,0),
       MATCH(TRIM($R120),'Merit Matrix'!$B$3:$F$3,0))</f>
        <v>2.5000000000000001E-2</v>
      </c>
      <c r="U120" s="24">
        <f>Table13[[#This Row],[Salary increase %]]*Table13[[#This Row],[Monthly Gross Salary]]</f>
        <v>1808.7750000000001</v>
      </c>
      <c r="V120" s="23">
        <f>Table13[[#This Row],[Salary increase Amount]]+Table13[[#This Row],[Monthly Gross Salary]]</f>
        <v>74159.774999999994</v>
      </c>
      <c r="W120" s="75">
        <v>0.2</v>
      </c>
      <c r="X120" s="6">
        <f>Table13[[#This Row],[New Gross Salary]]*Table13[[#This Row],[STI %]]</f>
        <v>14831.955</v>
      </c>
      <c r="Y120" s="96">
        <v>1</v>
      </c>
      <c r="Z120" s="6">
        <f>Table13[[#This Row],[Target STI]]*Table13[[#This Row],[Multiplier]]</f>
        <v>14831.955</v>
      </c>
      <c r="AA120" s="26">
        <v>0.32</v>
      </c>
      <c r="AB120" s="21" t="s">
        <v>6</v>
      </c>
      <c r="AC120" s="24">
        <f>(Table13[[#This Row],[New Gross Salary]]+Table13[[#This Row],[Final STI]])*Table13[[#This Row],[Tax %]]</f>
        <v>28477.353599999999</v>
      </c>
      <c r="AD120" s="24">
        <f>Table13[[#This Row],[New Gross Salary]]*5%</f>
        <v>3707.98875</v>
      </c>
      <c r="AE120" s="21" cm="1">
        <f t="array" ref="AE120">_xlfn.XLOOKUP(AB120,{"A","B","C"},{500,800,1200})</f>
        <v>1200</v>
      </c>
      <c r="AF120" s="24">
        <f t="shared" si="3"/>
        <v>33385.342349999999</v>
      </c>
      <c r="AG120" s="27">
        <f>Table13[[#This Row],[New Gross Salary]]+Table13[[#This Row],[Final STI]]-Table13[[#This Row],[Total Deductions
(Tax+Pension+HP)]]</f>
        <v>55606.387649999997</v>
      </c>
    </row>
    <row r="121" spans="1:33" x14ac:dyDescent="0.2">
      <c r="A121" s="20">
        <v>1120</v>
      </c>
      <c r="B121" s="21" t="s">
        <v>132</v>
      </c>
      <c r="C121" s="21" t="s">
        <v>14</v>
      </c>
      <c r="D121" s="21" t="s">
        <v>628</v>
      </c>
      <c r="E121" s="22">
        <v>45292</v>
      </c>
      <c r="F121" s="21" t="s">
        <v>395</v>
      </c>
      <c r="G121" s="21" t="s">
        <v>523</v>
      </c>
      <c r="H121" s="21" t="s">
        <v>520</v>
      </c>
      <c r="I121" s="5" t="s">
        <v>661</v>
      </c>
      <c r="J121" s="21" t="s">
        <v>535</v>
      </c>
      <c r="K121" s="21" t="s">
        <v>538</v>
      </c>
      <c r="L121" s="23">
        <v>47000</v>
      </c>
      <c r="M121" s="23" t="s">
        <v>673</v>
      </c>
      <c r="N121" s="23">
        <v>38000</v>
      </c>
      <c r="O121" s="23">
        <v>50000</v>
      </c>
      <c r="P121" s="23">
        <v>56000</v>
      </c>
      <c r="Q121" s="24">
        <f>Table13[[#This Row],[Monthly Gross Salary]]/Table13[[#This Row],[Mid]]</f>
        <v>0.94</v>
      </c>
      <c r="R121" s="23" t="str">
        <f t="shared" si="2"/>
        <v>Below Mid</v>
      </c>
      <c r="S121" s="23">
        <v>3</v>
      </c>
      <c r="T121" s="25">
        <f>INDEX('Merit Matrix'!$B$4:$F$8,
       MATCH($S121,'Merit Matrix'!$A$4:$A$8,0),
       MATCH(TRIM($R121),'Merit Matrix'!$B$3:$F$3,0))</f>
        <v>0.03</v>
      </c>
      <c r="U121" s="24">
        <f>Table13[[#This Row],[Salary increase %]]*Table13[[#This Row],[Monthly Gross Salary]]</f>
        <v>1410</v>
      </c>
      <c r="V121" s="23">
        <f>Table13[[#This Row],[Salary increase Amount]]+Table13[[#This Row],[Monthly Gross Salary]]</f>
        <v>48410</v>
      </c>
      <c r="W121" s="75">
        <v>0.15</v>
      </c>
      <c r="X121" s="6">
        <f>Table13[[#This Row],[New Gross Salary]]*Table13[[#This Row],[STI %]]</f>
        <v>7261.5</v>
      </c>
      <c r="Y121" s="96">
        <v>1</v>
      </c>
      <c r="Z121" s="6">
        <f>Table13[[#This Row],[Target STI]]*Table13[[#This Row],[Multiplier]]</f>
        <v>7261.5</v>
      </c>
      <c r="AA121" s="26">
        <v>0.32</v>
      </c>
      <c r="AB121" s="21" t="s">
        <v>18</v>
      </c>
      <c r="AC121" s="24">
        <f>(Table13[[#This Row],[New Gross Salary]]+Table13[[#This Row],[Final STI]])*Table13[[#This Row],[Tax %]]</f>
        <v>17814.88</v>
      </c>
      <c r="AD121" s="24">
        <f>Table13[[#This Row],[New Gross Salary]]*5%</f>
        <v>2420.5</v>
      </c>
      <c r="AE121" s="21" cm="1">
        <f t="array" ref="AE121">_xlfn.XLOOKUP(AB121,{"A","B","C"},{500,800,1200})</f>
        <v>500</v>
      </c>
      <c r="AF121" s="24">
        <f t="shared" si="3"/>
        <v>20735.38</v>
      </c>
      <c r="AG121" s="27">
        <f>Table13[[#This Row],[New Gross Salary]]+Table13[[#This Row],[Final STI]]-Table13[[#This Row],[Total Deductions
(Tax+Pension+HP)]]</f>
        <v>34936.119999999995</v>
      </c>
    </row>
    <row r="122" spans="1:33" x14ac:dyDescent="0.2">
      <c r="A122" s="20">
        <v>1121</v>
      </c>
      <c r="B122" s="21" t="s">
        <v>133</v>
      </c>
      <c r="C122" s="21" t="s">
        <v>8</v>
      </c>
      <c r="D122" s="21" t="s">
        <v>543</v>
      </c>
      <c r="E122" s="22">
        <v>43831</v>
      </c>
      <c r="F122" s="21" t="s">
        <v>396</v>
      </c>
      <c r="G122" s="21" t="s">
        <v>523</v>
      </c>
      <c r="H122" s="21" t="s">
        <v>520</v>
      </c>
      <c r="I122" s="5" t="s">
        <v>661</v>
      </c>
      <c r="J122" s="21" t="s">
        <v>532</v>
      </c>
      <c r="K122" s="21" t="s">
        <v>539</v>
      </c>
      <c r="L122" s="23">
        <v>72351</v>
      </c>
      <c r="M122" s="23" t="s">
        <v>673</v>
      </c>
      <c r="N122" s="23">
        <v>55000</v>
      </c>
      <c r="O122" s="23">
        <v>75000</v>
      </c>
      <c r="P122" s="23">
        <v>85000</v>
      </c>
      <c r="Q122" s="24">
        <f>Table13[[#This Row],[Monthly Gross Salary]]/Table13[[#This Row],[Mid]]</f>
        <v>0.96467999999999998</v>
      </c>
      <c r="R122" s="23" t="str">
        <f t="shared" si="2"/>
        <v>Around Mid</v>
      </c>
      <c r="S122" s="23">
        <v>3</v>
      </c>
      <c r="T122" s="25">
        <f>INDEX('Merit Matrix'!$B$4:$F$8,
       MATCH($S122,'Merit Matrix'!$A$4:$A$8,0),
       MATCH(TRIM($R122),'Merit Matrix'!$B$3:$F$3,0))</f>
        <v>2.5000000000000001E-2</v>
      </c>
      <c r="U122" s="24">
        <f>Table13[[#This Row],[Salary increase %]]*Table13[[#This Row],[Monthly Gross Salary]]</f>
        <v>1808.7750000000001</v>
      </c>
      <c r="V122" s="23">
        <f>Table13[[#This Row],[Salary increase Amount]]+Table13[[#This Row],[Monthly Gross Salary]]</f>
        <v>74159.774999999994</v>
      </c>
      <c r="W122" s="75">
        <v>0.2</v>
      </c>
      <c r="X122" s="6">
        <f>Table13[[#This Row],[New Gross Salary]]*Table13[[#This Row],[STI %]]</f>
        <v>14831.955</v>
      </c>
      <c r="Y122" s="96">
        <v>1</v>
      </c>
      <c r="Z122" s="6">
        <f>Table13[[#This Row],[Target STI]]*Table13[[#This Row],[Multiplier]]</f>
        <v>14831.955</v>
      </c>
      <c r="AA122" s="26">
        <v>0.32</v>
      </c>
      <c r="AB122" s="21" t="s">
        <v>18</v>
      </c>
      <c r="AC122" s="24">
        <f>(Table13[[#This Row],[New Gross Salary]]+Table13[[#This Row],[Final STI]])*Table13[[#This Row],[Tax %]]</f>
        <v>28477.353599999999</v>
      </c>
      <c r="AD122" s="24">
        <f>Table13[[#This Row],[New Gross Salary]]*5%</f>
        <v>3707.98875</v>
      </c>
      <c r="AE122" s="21" cm="1">
        <f t="array" ref="AE122">_xlfn.XLOOKUP(AB122,{"A","B","C"},{500,800,1200})</f>
        <v>500</v>
      </c>
      <c r="AF122" s="24">
        <f t="shared" si="3"/>
        <v>32685.342349999999</v>
      </c>
      <c r="AG122" s="27">
        <f>Table13[[#This Row],[New Gross Salary]]+Table13[[#This Row],[Final STI]]-Table13[[#This Row],[Total Deductions
(Tax+Pension+HP)]]</f>
        <v>56306.387649999997</v>
      </c>
    </row>
    <row r="123" spans="1:33" x14ac:dyDescent="0.2">
      <c r="A123" s="20">
        <v>1122</v>
      </c>
      <c r="B123" s="21" t="s">
        <v>134</v>
      </c>
      <c r="C123" s="21" t="s">
        <v>8</v>
      </c>
      <c r="D123" s="21" t="s">
        <v>543</v>
      </c>
      <c r="E123" s="22">
        <v>43831</v>
      </c>
      <c r="F123" s="21" t="s">
        <v>397</v>
      </c>
      <c r="G123" s="21" t="s">
        <v>523</v>
      </c>
      <c r="H123" s="21" t="s">
        <v>520</v>
      </c>
      <c r="I123" s="5" t="s">
        <v>661</v>
      </c>
      <c r="J123" s="21" t="s">
        <v>532</v>
      </c>
      <c r="K123" s="21" t="s">
        <v>539</v>
      </c>
      <c r="L123" s="23">
        <v>72351</v>
      </c>
      <c r="M123" s="23" t="s">
        <v>673</v>
      </c>
      <c r="N123" s="23">
        <v>55000</v>
      </c>
      <c r="O123" s="23">
        <v>75000</v>
      </c>
      <c r="P123" s="23">
        <v>85000</v>
      </c>
      <c r="Q123" s="24">
        <f>Table13[[#This Row],[Monthly Gross Salary]]/Table13[[#This Row],[Mid]]</f>
        <v>0.96467999999999998</v>
      </c>
      <c r="R123" s="23" t="str">
        <f t="shared" si="2"/>
        <v>Around Mid</v>
      </c>
      <c r="S123" s="23">
        <v>3</v>
      </c>
      <c r="T123" s="25">
        <f>INDEX('Merit Matrix'!$B$4:$F$8,
       MATCH($S123,'Merit Matrix'!$A$4:$A$8,0),
       MATCH(TRIM($R123),'Merit Matrix'!$B$3:$F$3,0))</f>
        <v>2.5000000000000001E-2</v>
      </c>
      <c r="U123" s="24">
        <f>Table13[[#This Row],[Salary increase %]]*Table13[[#This Row],[Monthly Gross Salary]]</f>
        <v>1808.7750000000001</v>
      </c>
      <c r="V123" s="23">
        <f>Table13[[#This Row],[Salary increase Amount]]+Table13[[#This Row],[Monthly Gross Salary]]</f>
        <v>74159.774999999994</v>
      </c>
      <c r="W123" s="75">
        <v>0.2</v>
      </c>
      <c r="X123" s="6">
        <f>Table13[[#This Row],[New Gross Salary]]*Table13[[#This Row],[STI %]]</f>
        <v>14831.955</v>
      </c>
      <c r="Y123" s="96">
        <v>1</v>
      </c>
      <c r="Z123" s="6">
        <f>Table13[[#This Row],[Target STI]]*Table13[[#This Row],[Multiplier]]</f>
        <v>14831.955</v>
      </c>
      <c r="AA123" s="26">
        <v>0.3</v>
      </c>
      <c r="AB123" s="21" t="s">
        <v>18</v>
      </c>
      <c r="AC123" s="24">
        <f>(Table13[[#This Row],[New Gross Salary]]+Table13[[#This Row],[Final STI]])*Table13[[#This Row],[Tax %]]</f>
        <v>26697.518999999997</v>
      </c>
      <c r="AD123" s="24">
        <f>Table13[[#This Row],[New Gross Salary]]*5%</f>
        <v>3707.98875</v>
      </c>
      <c r="AE123" s="21" cm="1">
        <f t="array" ref="AE123">_xlfn.XLOOKUP(AB123,{"A","B","C"},{500,800,1200})</f>
        <v>500</v>
      </c>
      <c r="AF123" s="24">
        <f t="shared" si="3"/>
        <v>30905.507749999997</v>
      </c>
      <c r="AG123" s="27">
        <f>Table13[[#This Row],[New Gross Salary]]+Table13[[#This Row],[Final STI]]-Table13[[#This Row],[Total Deductions
(Tax+Pension+HP)]]</f>
        <v>58086.222249999999</v>
      </c>
    </row>
    <row r="124" spans="1:33" x14ac:dyDescent="0.2">
      <c r="A124" s="20">
        <v>1123</v>
      </c>
      <c r="B124" s="21" t="s">
        <v>135</v>
      </c>
      <c r="C124" s="21" t="s">
        <v>42</v>
      </c>
      <c r="D124" s="21" t="s">
        <v>555</v>
      </c>
      <c r="E124" s="22">
        <v>44562</v>
      </c>
      <c r="F124" s="21" t="s">
        <v>398</v>
      </c>
      <c r="G124" s="21" t="s">
        <v>522</v>
      </c>
      <c r="H124" s="21" t="s">
        <v>520</v>
      </c>
      <c r="I124" s="5" t="s">
        <v>661</v>
      </c>
      <c r="J124" s="21" t="s">
        <v>533</v>
      </c>
      <c r="K124" s="21" t="s">
        <v>536</v>
      </c>
      <c r="L124" s="23">
        <v>33401</v>
      </c>
      <c r="M124" s="23" t="s">
        <v>673</v>
      </c>
      <c r="N124" s="23">
        <v>30000</v>
      </c>
      <c r="O124" s="23">
        <v>35000</v>
      </c>
      <c r="P124" s="23">
        <v>40000</v>
      </c>
      <c r="Q124" s="24">
        <f>Table13[[#This Row],[Monthly Gross Salary]]/Table13[[#This Row],[Mid]]</f>
        <v>0.95431428571428567</v>
      </c>
      <c r="R124" s="23" t="str">
        <f t="shared" si="2"/>
        <v>Around Mid</v>
      </c>
      <c r="S124" s="23">
        <v>4</v>
      </c>
      <c r="T124" s="25">
        <f>INDEX('Merit Matrix'!$B$4:$F$8,
       MATCH($S124,'Merit Matrix'!$A$4:$A$8,0),
       MATCH(TRIM($R124),'Merit Matrix'!$B$3:$F$3,0))</f>
        <v>0.04</v>
      </c>
      <c r="U124" s="24">
        <f>Table13[[#This Row],[Salary increase %]]*Table13[[#This Row],[Monthly Gross Salary]]</f>
        <v>1336.04</v>
      </c>
      <c r="V124" s="23">
        <f>Table13[[#This Row],[Salary increase Amount]]+Table13[[#This Row],[Monthly Gross Salary]]</f>
        <v>34737.040000000001</v>
      </c>
      <c r="W124" s="75">
        <v>0.1</v>
      </c>
      <c r="X124" s="6">
        <f>Table13[[#This Row],[New Gross Salary]]*Table13[[#This Row],[STI %]]</f>
        <v>3473.7040000000002</v>
      </c>
      <c r="Y124" s="96">
        <v>1.2</v>
      </c>
      <c r="Z124" s="6">
        <f>Table13[[#This Row],[Target STI]]*Table13[[#This Row],[Multiplier]]</f>
        <v>4168.4448000000002</v>
      </c>
      <c r="AA124" s="26">
        <v>0.32</v>
      </c>
      <c r="AB124" s="21" t="s">
        <v>9</v>
      </c>
      <c r="AC124" s="24">
        <f>(Table13[[#This Row],[New Gross Salary]]+Table13[[#This Row],[Final STI]])*Table13[[#This Row],[Tax %]]</f>
        <v>12449.755136</v>
      </c>
      <c r="AD124" s="24">
        <f>Table13[[#This Row],[New Gross Salary]]*5%</f>
        <v>1736.8520000000001</v>
      </c>
      <c r="AE124" s="21" cm="1">
        <f t="array" ref="AE124">_xlfn.XLOOKUP(AB124,{"A","B","C"},{500,800,1200})</f>
        <v>800</v>
      </c>
      <c r="AF124" s="24">
        <f t="shared" si="3"/>
        <v>14986.607136000001</v>
      </c>
      <c r="AG124" s="27">
        <f>Table13[[#This Row],[New Gross Salary]]+Table13[[#This Row],[Final STI]]-Table13[[#This Row],[Total Deductions
(Tax+Pension+HP)]]</f>
        <v>23918.877664</v>
      </c>
    </row>
    <row r="125" spans="1:33" x14ac:dyDescent="0.2">
      <c r="A125" s="20">
        <v>1124</v>
      </c>
      <c r="B125" s="21" t="s">
        <v>136</v>
      </c>
      <c r="C125" s="21" t="s">
        <v>8</v>
      </c>
      <c r="D125" s="21" t="s">
        <v>544</v>
      </c>
      <c r="E125" s="22">
        <v>44562</v>
      </c>
      <c r="F125" s="21" t="s">
        <v>399</v>
      </c>
      <c r="G125" s="21" t="s">
        <v>523</v>
      </c>
      <c r="H125" s="21" t="s">
        <v>520</v>
      </c>
      <c r="I125" s="5" t="s">
        <v>661</v>
      </c>
      <c r="J125" s="21" t="s">
        <v>535</v>
      </c>
      <c r="K125" s="21" t="s">
        <v>538</v>
      </c>
      <c r="L125" s="23">
        <v>47000</v>
      </c>
      <c r="M125" s="23" t="s">
        <v>673</v>
      </c>
      <c r="N125" s="23">
        <v>38000</v>
      </c>
      <c r="O125" s="23">
        <v>50000</v>
      </c>
      <c r="P125" s="23">
        <v>56000</v>
      </c>
      <c r="Q125" s="24">
        <f>Table13[[#This Row],[Monthly Gross Salary]]/Table13[[#This Row],[Mid]]</f>
        <v>0.94</v>
      </c>
      <c r="R125" s="23" t="str">
        <f t="shared" si="2"/>
        <v>Below Mid</v>
      </c>
      <c r="S125" s="23">
        <v>3</v>
      </c>
      <c r="T125" s="25">
        <f>INDEX('Merit Matrix'!$B$4:$F$8,
       MATCH($S125,'Merit Matrix'!$A$4:$A$8,0),
       MATCH(TRIM($R125),'Merit Matrix'!$B$3:$F$3,0))</f>
        <v>0.03</v>
      </c>
      <c r="U125" s="24">
        <f>Table13[[#This Row],[Salary increase %]]*Table13[[#This Row],[Monthly Gross Salary]]</f>
        <v>1410</v>
      </c>
      <c r="V125" s="23">
        <f>Table13[[#This Row],[Salary increase Amount]]+Table13[[#This Row],[Monthly Gross Salary]]</f>
        <v>48410</v>
      </c>
      <c r="W125" s="75">
        <v>0.2</v>
      </c>
      <c r="X125" s="6">
        <f>Table13[[#This Row],[New Gross Salary]]*Table13[[#This Row],[STI %]]</f>
        <v>9682</v>
      </c>
      <c r="Y125" s="96">
        <v>1</v>
      </c>
      <c r="Z125" s="6">
        <f>Table13[[#This Row],[Target STI]]*Table13[[#This Row],[Multiplier]]</f>
        <v>9682</v>
      </c>
      <c r="AA125" s="26">
        <v>0.27</v>
      </c>
      <c r="AB125" s="21" t="s">
        <v>9</v>
      </c>
      <c r="AC125" s="24">
        <f>(Table13[[#This Row],[New Gross Salary]]+Table13[[#This Row],[Final STI]])*Table13[[#This Row],[Tax %]]</f>
        <v>15684.84</v>
      </c>
      <c r="AD125" s="24">
        <f>Table13[[#This Row],[New Gross Salary]]*5%</f>
        <v>2420.5</v>
      </c>
      <c r="AE125" s="21" cm="1">
        <f t="array" ref="AE125">_xlfn.XLOOKUP(AB125,{"A","B","C"},{500,800,1200})</f>
        <v>800</v>
      </c>
      <c r="AF125" s="24">
        <f t="shared" si="3"/>
        <v>18905.34</v>
      </c>
      <c r="AG125" s="27">
        <f>Table13[[#This Row],[New Gross Salary]]+Table13[[#This Row],[Final STI]]-Table13[[#This Row],[Total Deductions
(Tax+Pension+HP)]]</f>
        <v>39186.660000000003</v>
      </c>
    </row>
    <row r="126" spans="1:33" x14ac:dyDescent="0.2">
      <c r="A126" s="20">
        <v>1125</v>
      </c>
      <c r="B126" s="21" t="s">
        <v>137</v>
      </c>
      <c r="C126" s="21" t="s">
        <v>5</v>
      </c>
      <c r="D126" s="21" t="s">
        <v>550</v>
      </c>
      <c r="E126" s="22">
        <v>43831</v>
      </c>
      <c r="F126" s="21" t="s">
        <v>400</v>
      </c>
      <c r="G126" s="21" t="s">
        <v>523</v>
      </c>
      <c r="H126" s="21" t="s">
        <v>520</v>
      </c>
      <c r="I126" s="5" t="s">
        <v>661</v>
      </c>
      <c r="J126" s="21" t="s">
        <v>532</v>
      </c>
      <c r="K126" s="21" t="s">
        <v>540</v>
      </c>
      <c r="L126" s="23">
        <v>85007</v>
      </c>
      <c r="M126" s="23" t="s">
        <v>673</v>
      </c>
      <c r="N126" s="23">
        <v>58000</v>
      </c>
      <c r="O126" s="23">
        <v>75000</v>
      </c>
      <c r="P126" s="23">
        <v>87000</v>
      </c>
      <c r="Q126" s="24">
        <f>Table13[[#This Row],[Monthly Gross Salary]]/Table13[[#This Row],[Mid]]</f>
        <v>1.1334266666666666</v>
      </c>
      <c r="R126" s="23" t="str">
        <f t="shared" si="2"/>
        <v>Above Mid</v>
      </c>
      <c r="S126" s="23">
        <v>3</v>
      </c>
      <c r="T126" s="25">
        <f>INDEX('Merit Matrix'!$B$4:$F$8,
       MATCH($S126,'Merit Matrix'!$A$4:$A$8,0),
       MATCH(TRIM($R126),'Merit Matrix'!$B$3:$F$3,0))</f>
        <v>0.02</v>
      </c>
      <c r="U126" s="24">
        <f>Table13[[#This Row],[Salary increase %]]*Table13[[#This Row],[Monthly Gross Salary]]</f>
        <v>1700.14</v>
      </c>
      <c r="V126" s="23">
        <f>Table13[[#This Row],[Salary increase Amount]]+Table13[[#This Row],[Monthly Gross Salary]]</f>
        <v>86707.14</v>
      </c>
      <c r="W126" s="75">
        <v>0.2</v>
      </c>
      <c r="X126" s="6">
        <f>Table13[[#This Row],[New Gross Salary]]*Table13[[#This Row],[STI %]]</f>
        <v>17341.428</v>
      </c>
      <c r="Y126" s="96">
        <v>1</v>
      </c>
      <c r="Z126" s="6">
        <f>Table13[[#This Row],[Target STI]]*Table13[[#This Row],[Multiplier]]</f>
        <v>17341.428</v>
      </c>
      <c r="AA126" s="26">
        <v>0.31</v>
      </c>
      <c r="AB126" s="21" t="s">
        <v>6</v>
      </c>
      <c r="AC126" s="24">
        <f>(Table13[[#This Row],[New Gross Salary]]+Table13[[#This Row],[Final STI]])*Table13[[#This Row],[Tax %]]</f>
        <v>32255.056079999998</v>
      </c>
      <c r="AD126" s="24">
        <f>Table13[[#This Row],[New Gross Salary]]*5%</f>
        <v>4335.357</v>
      </c>
      <c r="AE126" s="21" cm="1">
        <f t="array" ref="AE126">_xlfn.XLOOKUP(AB126,{"A","B","C"},{500,800,1200})</f>
        <v>1200</v>
      </c>
      <c r="AF126" s="24">
        <f t="shared" si="3"/>
        <v>37790.413079999998</v>
      </c>
      <c r="AG126" s="27">
        <f>Table13[[#This Row],[New Gross Salary]]+Table13[[#This Row],[Final STI]]-Table13[[#This Row],[Total Deductions
(Tax+Pension+HP)]]</f>
        <v>66258.154920000001</v>
      </c>
    </row>
    <row r="127" spans="1:33" x14ac:dyDescent="0.2">
      <c r="A127" s="20">
        <v>1126</v>
      </c>
      <c r="B127" s="21" t="s">
        <v>138</v>
      </c>
      <c r="C127" s="21" t="s">
        <v>5</v>
      </c>
      <c r="D127" s="21" t="s">
        <v>550</v>
      </c>
      <c r="E127" s="22">
        <v>43831</v>
      </c>
      <c r="F127" s="21" t="s">
        <v>401</v>
      </c>
      <c r="G127" s="21" t="s">
        <v>523</v>
      </c>
      <c r="H127" s="21" t="s">
        <v>520</v>
      </c>
      <c r="I127" s="5" t="s">
        <v>661</v>
      </c>
      <c r="J127" s="21" t="s">
        <v>532</v>
      </c>
      <c r="K127" s="21" t="s">
        <v>540</v>
      </c>
      <c r="L127" s="23">
        <v>85007</v>
      </c>
      <c r="M127" s="23" t="s">
        <v>673</v>
      </c>
      <c r="N127" s="23">
        <v>58000</v>
      </c>
      <c r="O127" s="23">
        <v>75000</v>
      </c>
      <c r="P127" s="23">
        <v>87000</v>
      </c>
      <c r="Q127" s="24">
        <f>Table13[[#This Row],[Monthly Gross Salary]]/Table13[[#This Row],[Mid]]</f>
        <v>1.1334266666666666</v>
      </c>
      <c r="R127" s="23" t="str">
        <f t="shared" si="2"/>
        <v>Above Mid</v>
      </c>
      <c r="S127" s="23">
        <v>3</v>
      </c>
      <c r="T127" s="25">
        <f>INDEX('Merit Matrix'!$B$4:$F$8,
       MATCH($S127,'Merit Matrix'!$A$4:$A$8,0),
       MATCH(TRIM($R127),'Merit Matrix'!$B$3:$F$3,0))</f>
        <v>0.02</v>
      </c>
      <c r="U127" s="24">
        <f>Table13[[#This Row],[Salary increase %]]*Table13[[#This Row],[Monthly Gross Salary]]</f>
        <v>1700.14</v>
      </c>
      <c r="V127" s="23">
        <f>Table13[[#This Row],[Salary increase Amount]]+Table13[[#This Row],[Monthly Gross Salary]]</f>
        <v>86707.14</v>
      </c>
      <c r="W127" s="75">
        <v>0.2</v>
      </c>
      <c r="X127" s="6">
        <f>Table13[[#This Row],[New Gross Salary]]*Table13[[#This Row],[STI %]]</f>
        <v>17341.428</v>
      </c>
      <c r="Y127" s="96">
        <v>1</v>
      </c>
      <c r="Z127" s="6">
        <f>Table13[[#This Row],[Target STI]]*Table13[[#This Row],[Multiplier]]</f>
        <v>17341.428</v>
      </c>
      <c r="AA127" s="26">
        <v>0.32</v>
      </c>
      <c r="AB127" s="21" t="s">
        <v>9</v>
      </c>
      <c r="AC127" s="24">
        <f>(Table13[[#This Row],[New Gross Salary]]+Table13[[#This Row],[Final STI]])*Table13[[#This Row],[Tax %]]</f>
        <v>33295.54176</v>
      </c>
      <c r="AD127" s="24">
        <f>Table13[[#This Row],[New Gross Salary]]*5%</f>
        <v>4335.357</v>
      </c>
      <c r="AE127" s="21" cm="1">
        <f t="array" ref="AE127">_xlfn.XLOOKUP(AB127,{"A","B","C"},{500,800,1200})</f>
        <v>800</v>
      </c>
      <c r="AF127" s="24">
        <f t="shared" si="3"/>
        <v>38430.898759999996</v>
      </c>
      <c r="AG127" s="27">
        <f>Table13[[#This Row],[New Gross Salary]]+Table13[[#This Row],[Final STI]]-Table13[[#This Row],[Total Deductions
(Tax+Pension+HP)]]</f>
        <v>65617.669240000003</v>
      </c>
    </row>
    <row r="128" spans="1:33" x14ac:dyDescent="0.2">
      <c r="A128" s="20">
        <v>1127</v>
      </c>
      <c r="B128" s="21" t="s">
        <v>139</v>
      </c>
      <c r="C128" s="21" t="s">
        <v>42</v>
      </c>
      <c r="D128" s="21" t="s">
        <v>555</v>
      </c>
      <c r="E128" s="22">
        <v>44562</v>
      </c>
      <c r="F128" s="21" t="s">
        <v>402</v>
      </c>
      <c r="G128" s="21" t="s">
        <v>522</v>
      </c>
      <c r="H128" s="21" t="s">
        <v>520</v>
      </c>
      <c r="I128" s="5" t="s">
        <v>661</v>
      </c>
      <c r="J128" s="21" t="s">
        <v>533</v>
      </c>
      <c r="K128" s="21" t="s">
        <v>536</v>
      </c>
      <c r="L128" s="23">
        <v>33401</v>
      </c>
      <c r="M128" s="23" t="s">
        <v>673</v>
      </c>
      <c r="N128" s="23">
        <v>30000</v>
      </c>
      <c r="O128" s="23">
        <v>35000</v>
      </c>
      <c r="P128" s="23">
        <v>40000</v>
      </c>
      <c r="Q128" s="24">
        <f>Table13[[#This Row],[Monthly Gross Salary]]/Table13[[#This Row],[Mid]]</f>
        <v>0.95431428571428567</v>
      </c>
      <c r="R128" s="23" t="str">
        <f t="shared" si="2"/>
        <v>Around Mid</v>
      </c>
      <c r="S128" s="23">
        <v>4</v>
      </c>
      <c r="T128" s="25">
        <f>INDEX('Merit Matrix'!$B$4:$F$8,
       MATCH($S128,'Merit Matrix'!$A$4:$A$8,0),
       MATCH(TRIM($R128),'Merit Matrix'!$B$3:$F$3,0))</f>
        <v>0.04</v>
      </c>
      <c r="U128" s="24">
        <f>Table13[[#This Row],[Salary increase %]]*Table13[[#This Row],[Monthly Gross Salary]]</f>
        <v>1336.04</v>
      </c>
      <c r="V128" s="23">
        <f>Table13[[#This Row],[Salary increase Amount]]+Table13[[#This Row],[Monthly Gross Salary]]</f>
        <v>34737.040000000001</v>
      </c>
      <c r="W128" s="75">
        <v>0.1</v>
      </c>
      <c r="X128" s="6">
        <f>Table13[[#This Row],[New Gross Salary]]*Table13[[#This Row],[STI %]]</f>
        <v>3473.7040000000002</v>
      </c>
      <c r="Y128" s="96">
        <v>1.2</v>
      </c>
      <c r="Z128" s="6">
        <f>Table13[[#This Row],[Target STI]]*Table13[[#This Row],[Multiplier]]</f>
        <v>4168.4448000000002</v>
      </c>
      <c r="AA128" s="26">
        <v>0.27</v>
      </c>
      <c r="AB128" s="21" t="s">
        <v>6</v>
      </c>
      <c r="AC128" s="24">
        <f>(Table13[[#This Row],[New Gross Salary]]+Table13[[#This Row],[Final STI]])*Table13[[#This Row],[Tax %]]</f>
        <v>10504.480896000001</v>
      </c>
      <c r="AD128" s="24">
        <f>Table13[[#This Row],[New Gross Salary]]*5%</f>
        <v>1736.8520000000001</v>
      </c>
      <c r="AE128" s="21" cm="1">
        <f t="array" ref="AE128">_xlfn.XLOOKUP(AB128,{"A","B","C"},{500,800,1200})</f>
        <v>1200</v>
      </c>
      <c r="AF128" s="24">
        <f t="shared" si="3"/>
        <v>13441.332896000002</v>
      </c>
      <c r="AG128" s="27">
        <f>Table13[[#This Row],[New Gross Salary]]+Table13[[#This Row],[Final STI]]-Table13[[#This Row],[Total Deductions
(Tax+Pension+HP)]]</f>
        <v>25464.151903999998</v>
      </c>
    </row>
    <row r="129" spans="1:33" x14ac:dyDescent="0.2">
      <c r="A129" s="20">
        <v>1128</v>
      </c>
      <c r="B129" s="21" t="s">
        <v>140</v>
      </c>
      <c r="C129" s="21" t="s">
        <v>14</v>
      </c>
      <c r="D129" s="21" t="s">
        <v>628</v>
      </c>
      <c r="E129" s="22">
        <v>45292</v>
      </c>
      <c r="F129" s="21" t="s">
        <v>403</v>
      </c>
      <c r="G129" s="21" t="s">
        <v>523</v>
      </c>
      <c r="H129" s="21" t="s">
        <v>520</v>
      </c>
      <c r="I129" s="5" t="s">
        <v>661</v>
      </c>
      <c r="J129" s="21" t="s">
        <v>535</v>
      </c>
      <c r="K129" s="21" t="s">
        <v>538</v>
      </c>
      <c r="L129" s="23">
        <v>47000</v>
      </c>
      <c r="M129" s="23" t="s">
        <v>673</v>
      </c>
      <c r="N129" s="23">
        <v>38000</v>
      </c>
      <c r="O129" s="23">
        <v>50000</v>
      </c>
      <c r="P129" s="23">
        <v>56000</v>
      </c>
      <c r="Q129" s="24">
        <f>Table13[[#This Row],[Monthly Gross Salary]]/Table13[[#This Row],[Mid]]</f>
        <v>0.94</v>
      </c>
      <c r="R129" s="23" t="str">
        <f t="shared" si="2"/>
        <v>Below Mid</v>
      </c>
      <c r="S129" s="23">
        <v>3</v>
      </c>
      <c r="T129" s="25">
        <f>INDEX('Merit Matrix'!$B$4:$F$8,
       MATCH($S129,'Merit Matrix'!$A$4:$A$8,0),
       MATCH(TRIM($R129),'Merit Matrix'!$B$3:$F$3,0))</f>
        <v>0.03</v>
      </c>
      <c r="U129" s="24">
        <f>Table13[[#This Row],[Salary increase %]]*Table13[[#This Row],[Monthly Gross Salary]]</f>
        <v>1410</v>
      </c>
      <c r="V129" s="23">
        <f>Table13[[#This Row],[Salary increase Amount]]+Table13[[#This Row],[Monthly Gross Salary]]</f>
        <v>48410</v>
      </c>
      <c r="W129" s="75">
        <v>0.15</v>
      </c>
      <c r="X129" s="6">
        <f>Table13[[#This Row],[New Gross Salary]]*Table13[[#This Row],[STI %]]</f>
        <v>7261.5</v>
      </c>
      <c r="Y129" s="96">
        <v>1</v>
      </c>
      <c r="Z129" s="6">
        <f>Table13[[#This Row],[Target STI]]*Table13[[#This Row],[Multiplier]]</f>
        <v>7261.5</v>
      </c>
      <c r="AA129" s="26">
        <v>0.28000000000000003</v>
      </c>
      <c r="AB129" s="21" t="s">
        <v>18</v>
      </c>
      <c r="AC129" s="24">
        <f>(Table13[[#This Row],[New Gross Salary]]+Table13[[#This Row],[Final STI]])*Table13[[#This Row],[Tax %]]</f>
        <v>15588.020000000002</v>
      </c>
      <c r="AD129" s="24">
        <f>Table13[[#This Row],[New Gross Salary]]*5%</f>
        <v>2420.5</v>
      </c>
      <c r="AE129" s="21" cm="1">
        <f t="array" ref="AE129">_xlfn.XLOOKUP(AB129,{"A","B","C"},{500,800,1200})</f>
        <v>500</v>
      </c>
      <c r="AF129" s="24">
        <f t="shared" si="3"/>
        <v>18508.520000000004</v>
      </c>
      <c r="AG129" s="27">
        <f>Table13[[#This Row],[New Gross Salary]]+Table13[[#This Row],[Final STI]]-Table13[[#This Row],[Total Deductions
(Tax+Pension+HP)]]</f>
        <v>37162.979999999996</v>
      </c>
    </row>
    <row r="130" spans="1:33" x14ac:dyDescent="0.2">
      <c r="A130" s="20">
        <v>1129</v>
      </c>
      <c r="B130" s="21" t="s">
        <v>141</v>
      </c>
      <c r="C130" s="21" t="s">
        <v>42</v>
      </c>
      <c r="D130" s="21" t="s">
        <v>555</v>
      </c>
      <c r="E130" s="22">
        <v>44562</v>
      </c>
      <c r="F130" s="21" t="s">
        <v>404</v>
      </c>
      <c r="G130" s="21" t="s">
        <v>522</v>
      </c>
      <c r="H130" s="21" t="s">
        <v>520</v>
      </c>
      <c r="I130" s="5" t="s">
        <v>661</v>
      </c>
      <c r="J130" s="21" t="s">
        <v>533</v>
      </c>
      <c r="K130" s="21" t="s">
        <v>536</v>
      </c>
      <c r="L130" s="23">
        <v>33401</v>
      </c>
      <c r="M130" s="23" t="s">
        <v>673</v>
      </c>
      <c r="N130" s="23">
        <v>30000</v>
      </c>
      <c r="O130" s="23">
        <v>35000</v>
      </c>
      <c r="P130" s="23">
        <v>40000</v>
      </c>
      <c r="Q130" s="24">
        <f>Table13[[#This Row],[Monthly Gross Salary]]/Table13[[#This Row],[Mid]]</f>
        <v>0.95431428571428567</v>
      </c>
      <c r="R130" s="23" t="str">
        <f t="shared" si="2"/>
        <v>Around Mid</v>
      </c>
      <c r="S130" s="23">
        <v>4</v>
      </c>
      <c r="T130" s="25">
        <f>INDEX('Merit Matrix'!$B$4:$F$8,
       MATCH($S130,'Merit Matrix'!$A$4:$A$8,0),
       MATCH(TRIM($R130),'Merit Matrix'!$B$3:$F$3,0))</f>
        <v>0.04</v>
      </c>
      <c r="U130" s="24">
        <f>Table13[[#This Row],[Salary increase %]]*Table13[[#This Row],[Monthly Gross Salary]]</f>
        <v>1336.04</v>
      </c>
      <c r="V130" s="23">
        <f>Table13[[#This Row],[Salary increase Amount]]+Table13[[#This Row],[Monthly Gross Salary]]</f>
        <v>34737.040000000001</v>
      </c>
      <c r="W130" s="75">
        <v>0.1</v>
      </c>
      <c r="X130" s="6">
        <f>Table13[[#This Row],[New Gross Salary]]*Table13[[#This Row],[STI %]]</f>
        <v>3473.7040000000002</v>
      </c>
      <c r="Y130" s="96">
        <v>1.2</v>
      </c>
      <c r="Z130" s="6">
        <f>Table13[[#This Row],[Target STI]]*Table13[[#This Row],[Multiplier]]</f>
        <v>4168.4448000000002</v>
      </c>
      <c r="AA130" s="26">
        <v>0.28999999999999998</v>
      </c>
      <c r="AB130" s="21" t="s">
        <v>9</v>
      </c>
      <c r="AC130" s="24">
        <f>(Table13[[#This Row],[New Gross Salary]]+Table13[[#This Row],[Final STI]])*Table13[[#This Row],[Tax %]]</f>
        <v>11282.590591999999</v>
      </c>
      <c r="AD130" s="24">
        <f>Table13[[#This Row],[New Gross Salary]]*5%</f>
        <v>1736.8520000000001</v>
      </c>
      <c r="AE130" s="21" cm="1">
        <f t="array" ref="AE130">_xlfn.XLOOKUP(AB130,{"A","B","C"},{500,800,1200})</f>
        <v>800</v>
      </c>
      <c r="AF130" s="24">
        <f t="shared" si="3"/>
        <v>13819.442591999999</v>
      </c>
      <c r="AG130" s="27">
        <f>Table13[[#This Row],[New Gross Salary]]+Table13[[#This Row],[Final STI]]-Table13[[#This Row],[Total Deductions
(Tax+Pension+HP)]]</f>
        <v>25086.042207999999</v>
      </c>
    </row>
    <row r="131" spans="1:33" x14ac:dyDescent="0.2">
      <c r="A131" s="20">
        <v>1130</v>
      </c>
      <c r="B131" s="21" t="s">
        <v>142</v>
      </c>
      <c r="C131" s="21" t="s">
        <v>11</v>
      </c>
      <c r="D131" s="21" t="s">
        <v>529</v>
      </c>
      <c r="E131" s="22">
        <v>43831</v>
      </c>
      <c r="F131" s="21" t="s">
        <v>405</v>
      </c>
      <c r="G131" s="21" t="s">
        <v>523</v>
      </c>
      <c r="H131" s="21" t="s">
        <v>520</v>
      </c>
      <c r="I131" s="5" t="s">
        <v>661</v>
      </c>
      <c r="J131" s="21" t="s">
        <v>532</v>
      </c>
      <c r="K131" s="21" t="s">
        <v>540</v>
      </c>
      <c r="L131" s="23">
        <v>85007</v>
      </c>
      <c r="M131" s="23" t="s">
        <v>673</v>
      </c>
      <c r="N131" s="23">
        <v>58000</v>
      </c>
      <c r="O131" s="23">
        <v>75000</v>
      </c>
      <c r="P131" s="23">
        <v>87000</v>
      </c>
      <c r="Q131" s="24">
        <f>Table13[[#This Row],[Monthly Gross Salary]]/Table13[[#This Row],[Mid]]</f>
        <v>1.1334266666666666</v>
      </c>
      <c r="R131" s="23" t="str">
        <f t="shared" ref="R131:R194" si="4">IF(Q131&lt;0.85,"Very Low",
 IF(Q131&lt;0.95,"Below Mid",
 IF(Q131&lt;=1.05,"Around Mid",
 IF(Q131&lt;=1.15,"Above Mid","High"))))</f>
        <v>Above Mid</v>
      </c>
      <c r="S131" s="23">
        <v>3</v>
      </c>
      <c r="T131" s="25">
        <f>INDEX('Merit Matrix'!$B$4:$F$8,
       MATCH($S131,'Merit Matrix'!$A$4:$A$8,0),
       MATCH(TRIM($R131),'Merit Matrix'!$B$3:$F$3,0))</f>
        <v>0.02</v>
      </c>
      <c r="U131" s="24">
        <f>Table13[[#This Row],[Salary increase %]]*Table13[[#This Row],[Monthly Gross Salary]]</f>
        <v>1700.14</v>
      </c>
      <c r="V131" s="23">
        <f>Table13[[#This Row],[Salary increase Amount]]+Table13[[#This Row],[Monthly Gross Salary]]</f>
        <v>86707.14</v>
      </c>
      <c r="W131" s="75">
        <v>0.2</v>
      </c>
      <c r="X131" s="6">
        <f>Table13[[#This Row],[New Gross Salary]]*Table13[[#This Row],[STI %]]</f>
        <v>17341.428</v>
      </c>
      <c r="Y131" s="96">
        <v>1</v>
      </c>
      <c r="Z131" s="6">
        <f>Table13[[#This Row],[Target STI]]*Table13[[#This Row],[Multiplier]]</f>
        <v>17341.428</v>
      </c>
      <c r="AA131" s="26">
        <v>0.31</v>
      </c>
      <c r="AB131" s="21" t="s">
        <v>6</v>
      </c>
      <c r="AC131" s="24">
        <f>(Table13[[#This Row],[New Gross Salary]]+Table13[[#This Row],[Final STI]])*Table13[[#This Row],[Tax %]]</f>
        <v>32255.056079999998</v>
      </c>
      <c r="AD131" s="24">
        <f>Table13[[#This Row],[New Gross Salary]]*5%</f>
        <v>4335.357</v>
      </c>
      <c r="AE131" s="21" cm="1">
        <f t="array" ref="AE131">_xlfn.XLOOKUP(AB131,{"A","B","C"},{500,800,1200})</f>
        <v>1200</v>
      </c>
      <c r="AF131" s="24">
        <f t="shared" ref="AF131:AF194" si="5">SUM(AC131:AE131)</f>
        <v>37790.413079999998</v>
      </c>
      <c r="AG131" s="27">
        <f>Table13[[#This Row],[New Gross Salary]]+Table13[[#This Row],[Final STI]]-Table13[[#This Row],[Total Deductions
(Tax+Pension+HP)]]</f>
        <v>66258.154920000001</v>
      </c>
    </row>
    <row r="132" spans="1:33" x14ac:dyDescent="0.2">
      <c r="A132" s="20">
        <v>1131</v>
      </c>
      <c r="B132" s="21" t="s">
        <v>143</v>
      </c>
      <c r="C132" s="21" t="s">
        <v>8</v>
      </c>
      <c r="D132" s="21" t="s">
        <v>544</v>
      </c>
      <c r="E132" s="22">
        <v>44562</v>
      </c>
      <c r="F132" s="21" t="s">
        <v>406</v>
      </c>
      <c r="G132" s="21" t="s">
        <v>523</v>
      </c>
      <c r="H132" s="21" t="s">
        <v>520</v>
      </c>
      <c r="I132" s="5" t="s">
        <v>661</v>
      </c>
      <c r="J132" s="21" t="s">
        <v>535</v>
      </c>
      <c r="K132" s="21" t="s">
        <v>538</v>
      </c>
      <c r="L132" s="23">
        <v>47000</v>
      </c>
      <c r="M132" s="23" t="s">
        <v>673</v>
      </c>
      <c r="N132" s="23">
        <v>38000</v>
      </c>
      <c r="O132" s="23">
        <v>50000</v>
      </c>
      <c r="P132" s="23">
        <v>56000</v>
      </c>
      <c r="Q132" s="24">
        <f>Table13[[#This Row],[Monthly Gross Salary]]/Table13[[#This Row],[Mid]]</f>
        <v>0.94</v>
      </c>
      <c r="R132" s="23" t="str">
        <f t="shared" si="4"/>
        <v>Below Mid</v>
      </c>
      <c r="S132" s="23">
        <v>3</v>
      </c>
      <c r="T132" s="25">
        <f>INDEX('Merit Matrix'!$B$4:$F$8,
       MATCH($S132,'Merit Matrix'!$A$4:$A$8,0),
       MATCH(TRIM($R132),'Merit Matrix'!$B$3:$F$3,0))</f>
        <v>0.03</v>
      </c>
      <c r="U132" s="24">
        <f>Table13[[#This Row],[Salary increase %]]*Table13[[#This Row],[Monthly Gross Salary]]</f>
        <v>1410</v>
      </c>
      <c r="V132" s="23">
        <f>Table13[[#This Row],[Salary increase Amount]]+Table13[[#This Row],[Monthly Gross Salary]]</f>
        <v>48410</v>
      </c>
      <c r="W132" s="75">
        <v>0.2</v>
      </c>
      <c r="X132" s="6">
        <f>Table13[[#This Row],[New Gross Salary]]*Table13[[#This Row],[STI %]]</f>
        <v>9682</v>
      </c>
      <c r="Y132" s="96">
        <v>1</v>
      </c>
      <c r="Z132" s="6">
        <f>Table13[[#This Row],[Target STI]]*Table13[[#This Row],[Multiplier]]</f>
        <v>9682</v>
      </c>
      <c r="AA132" s="26">
        <v>0.28000000000000003</v>
      </c>
      <c r="AB132" s="21" t="s">
        <v>18</v>
      </c>
      <c r="AC132" s="24">
        <f>(Table13[[#This Row],[New Gross Salary]]+Table13[[#This Row],[Final STI]])*Table13[[#This Row],[Tax %]]</f>
        <v>16265.760000000002</v>
      </c>
      <c r="AD132" s="24">
        <f>Table13[[#This Row],[New Gross Salary]]*5%</f>
        <v>2420.5</v>
      </c>
      <c r="AE132" s="21" cm="1">
        <f t="array" ref="AE132">_xlfn.XLOOKUP(AB132,{"A","B","C"},{500,800,1200})</f>
        <v>500</v>
      </c>
      <c r="AF132" s="24">
        <f t="shared" si="5"/>
        <v>19186.260000000002</v>
      </c>
      <c r="AG132" s="27">
        <f>Table13[[#This Row],[New Gross Salary]]+Table13[[#This Row],[Final STI]]-Table13[[#This Row],[Total Deductions
(Tax+Pension+HP)]]</f>
        <v>38905.74</v>
      </c>
    </row>
    <row r="133" spans="1:33" x14ac:dyDescent="0.2">
      <c r="A133" s="20">
        <v>1132</v>
      </c>
      <c r="B133" s="21" t="s">
        <v>144</v>
      </c>
      <c r="C133" s="21" t="s">
        <v>5</v>
      </c>
      <c r="D133" s="21" t="s">
        <v>550</v>
      </c>
      <c r="E133" s="22">
        <v>43831</v>
      </c>
      <c r="F133" s="21" t="s">
        <v>407</v>
      </c>
      <c r="G133" s="21" t="s">
        <v>523</v>
      </c>
      <c r="H133" s="21" t="s">
        <v>520</v>
      </c>
      <c r="I133" s="5" t="s">
        <v>661</v>
      </c>
      <c r="J133" s="21" t="s">
        <v>532</v>
      </c>
      <c r="K133" s="21" t="s">
        <v>540</v>
      </c>
      <c r="L133" s="23">
        <v>85007</v>
      </c>
      <c r="M133" s="23" t="s">
        <v>673</v>
      </c>
      <c r="N133" s="23">
        <v>58000</v>
      </c>
      <c r="O133" s="23">
        <v>75000</v>
      </c>
      <c r="P133" s="23">
        <v>87000</v>
      </c>
      <c r="Q133" s="24">
        <f>Table13[[#This Row],[Monthly Gross Salary]]/Table13[[#This Row],[Mid]]</f>
        <v>1.1334266666666666</v>
      </c>
      <c r="R133" s="23" t="str">
        <f t="shared" si="4"/>
        <v>Above Mid</v>
      </c>
      <c r="S133" s="23">
        <v>3</v>
      </c>
      <c r="T133" s="25">
        <f>INDEX('Merit Matrix'!$B$4:$F$8,
       MATCH($S133,'Merit Matrix'!$A$4:$A$8,0),
       MATCH(TRIM($R133),'Merit Matrix'!$B$3:$F$3,0))</f>
        <v>0.02</v>
      </c>
      <c r="U133" s="24">
        <f>Table13[[#This Row],[Salary increase %]]*Table13[[#This Row],[Monthly Gross Salary]]</f>
        <v>1700.14</v>
      </c>
      <c r="V133" s="23">
        <f>Table13[[#This Row],[Salary increase Amount]]+Table13[[#This Row],[Monthly Gross Salary]]</f>
        <v>86707.14</v>
      </c>
      <c r="W133" s="75">
        <v>0.2</v>
      </c>
      <c r="X133" s="6">
        <f>Table13[[#This Row],[New Gross Salary]]*Table13[[#This Row],[STI %]]</f>
        <v>17341.428</v>
      </c>
      <c r="Y133" s="96">
        <v>1</v>
      </c>
      <c r="Z133" s="6">
        <f>Table13[[#This Row],[Target STI]]*Table13[[#This Row],[Multiplier]]</f>
        <v>17341.428</v>
      </c>
      <c r="AA133" s="26">
        <v>0.32</v>
      </c>
      <c r="AB133" s="21" t="s">
        <v>9</v>
      </c>
      <c r="AC133" s="24">
        <f>(Table13[[#This Row],[New Gross Salary]]+Table13[[#This Row],[Final STI]])*Table13[[#This Row],[Tax %]]</f>
        <v>33295.54176</v>
      </c>
      <c r="AD133" s="24">
        <f>Table13[[#This Row],[New Gross Salary]]*5%</f>
        <v>4335.357</v>
      </c>
      <c r="AE133" s="21" cm="1">
        <f t="array" ref="AE133">_xlfn.XLOOKUP(AB133,{"A","B","C"},{500,800,1200})</f>
        <v>800</v>
      </c>
      <c r="AF133" s="24">
        <f t="shared" si="5"/>
        <v>38430.898759999996</v>
      </c>
      <c r="AG133" s="27">
        <f>Table13[[#This Row],[New Gross Salary]]+Table13[[#This Row],[Final STI]]-Table13[[#This Row],[Total Deductions
(Tax+Pension+HP)]]</f>
        <v>65617.669240000003</v>
      </c>
    </row>
    <row r="134" spans="1:33" x14ac:dyDescent="0.2">
      <c r="A134" s="20">
        <v>1133</v>
      </c>
      <c r="B134" s="21" t="s">
        <v>145</v>
      </c>
      <c r="C134" s="21" t="s">
        <v>11</v>
      </c>
      <c r="D134" s="21" t="s">
        <v>529</v>
      </c>
      <c r="E134" s="22">
        <v>43831</v>
      </c>
      <c r="F134" s="21" t="s">
        <v>408</v>
      </c>
      <c r="G134" s="21" t="s">
        <v>523</v>
      </c>
      <c r="H134" s="21" t="s">
        <v>520</v>
      </c>
      <c r="I134" s="5" t="s">
        <v>661</v>
      </c>
      <c r="J134" s="21" t="s">
        <v>532</v>
      </c>
      <c r="K134" s="21" t="s">
        <v>540</v>
      </c>
      <c r="L134" s="23">
        <v>85007</v>
      </c>
      <c r="M134" s="23" t="s">
        <v>673</v>
      </c>
      <c r="N134" s="23">
        <v>58000</v>
      </c>
      <c r="O134" s="23">
        <v>75000</v>
      </c>
      <c r="P134" s="23">
        <v>87000</v>
      </c>
      <c r="Q134" s="24">
        <f>Table13[[#This Row],[Monthly Gross Salary]]/Table13[[#This Row],[Mid]]</f>
        <v>1.1334266666666666</v>
      </c>
      <c r="R134" s="23" t="str">
        <f t="shared" si="4"/>
        <v>Above Mid</v>
      </c>
      <c r="S134" s="23">
        <v>3</v>
      </c>
      <c r="T134" s="25">
        <f>INDEX('Merit Matrix'!$B$4:$F$8,
       MATCH($S134,'Merit Matrix'!$A$4:$A$8,0),
       MATCH(TRIM($R134),'Merit Matrix'!$B$3:$F$3,0))</f>
        <v>0.02</v>
      </c>
      <c r="U134" s="24">
        <f>Table13[[#This Row],[Salary increase %]]*Table13[[#This Row],[Monthly Gross Salary]]</f>
        <v>1700.14</v>
      </c>
      <c r="V134" s="23">
        <f>Table13[[#This Row],[Salary increase Amount]]+Table13[[#This Row],[Monthly Gross Salary]]</f>
        <v>86707.14</v>
      </c>
      <c r="W134" s="75">
        <v>0.2</v>
      </c>
      <c r="X134" s="6">
        <f>Table13[[#This Row],[New Gross Salary]]*Table13[[#This Row],[STI %]]</f>
        <v>17341.428</v>
      </c>
      <c r="Y134" s="96">
        <v>1</v>
      </c>
      <c r="Z134" s="6">
        <f>Table13[[#This Row],[Target STI]]*Table13[[#This Row],[Multiplier]]</f>
        <v>17341.428</v>
      </c>
      <c r="AA134" s="26">
        <v>0.32</v>
      </c>
      <c r="AB134" s="21" t="s">
        <v>9</v>
      </c>
      <c r="AC134" s="24">
        <f>(Table13[[#This Row],[New Gross Salary]]+Table13[[#This Row],[Final STI]])*Table13[[#This Row],[Tax %]]</f>
        <v>33295.54176</v>
      </c>
      <c r="AD134" s="24">
        <f>Table13[[#This Row],[New Gross Salary]]*5%</f>
        <v>4335.357</v>
      </c>
      <c r="AE134" s="21" cm="1">
        <f t="array" ref="AE134">_xlfn.XLOOKUP(AB134,{"A","B","C"},{500,800,1200})</f>
        <v>800</v>
      </c>
      <c r="AF134" s="24">
        <f t="shared" si="5"/>
        <v>38430.898759999996</v>
      </c>
      <c r="AG134" s="27">
        <f>Table13[[#This Row],[New Gross Salary]]+Table13[[#This Row],[Final STI]]-Table13[[#This Row],[Total Deductions
(Tax+Pension+HP)]]</f>
        <v>65617.669240000003</v>
      </c>
    </row>
    <row r="135" spans="1:33" x14ac:dyDescent="0.2">
      <c r="A135" s="20">
        <v>1134</v>
      </c>
      <c r="B135" s="21" t="s">
        <v>146</v>
      </c>
      <c r="C135" s="21" t="s">
        <v>5</v>
      </c>
      <c r="D135" s="21" t="s">
        <v>550</v>
      </c>
      <c r="E135" s="22">
        <v>43831</v>
      </c>
      <c r="F135" s="21" t="s">
        <v>409</v>
      </c>
      <c r="G135" s="21" t="s">
        <v>523</v>
      </c>
      <c r="H135" s="21" t="s">
        <v>520</v>
      </c>
      <c r="I135" s="5" t="s">
        <v>661</v>
      </c>
      <c r="J135" s="21" t="s">
        <v>532</v>
      </c>
      <c r="K135" s="21" t="s">
        <v>540</v>
      </c>
      <c r="L135" s="23">
        <v>85007</v>
      </c>
      <c r="M135" s="23" t="s">
        <v>673</v>
      </c>
      <c r="N135" s="23">
        <v>58000</v>
      </c>
      <c r="O135" s="23">
        <v>75000</v>
      </c>
      <c r="P135" s="23">
        <v>87000</v>
      </c>
      <c r="Q135" s="24">
        <f>Table13[[#This Row],[Monthly Gross Salary]]/Table13[[#This Row],[Mid]]</f>
        <v>1.1334266666666666</v>
      </c>
      <c r="R135" s="23" t="str">
        <f t="shared" si="4"/>
        <v>Above Mid</v>
      </c>
      <c r="S135" s="23">
        <v>3</v>
      </c>
      <c r="T135" s="25">
        <f>INDEX('Merit Matrix'!$B$4:$F$8,
       MATCH($S135,'Merit Matrix'!$A$4:$A$8,0),
       MATCH(TRIM($R135),'Merit Matrix'!$B$3:$F$3,0))</f>
        <v>0.02</v>
      </c>
      <c r="U135" s="24">
        <f>Table13[[#This Row],[Salary increase %]]*Table13[[#This Row],[Monthly Gross Salary]]</f>
        <v>1700.14</v>
      </c>
      <c r="V135" s="23">
        <f>Table13[[#This Row],[Salary increase Amount]]+Table13[[#This Row],[Monthly Gross Salary]]</f>
        <v>86707.14</v>
      </c>
      <c r="W135" s="75">
        <v>0.2</v>
      </c>
      <c r="X135" s="6">
        <f>Table13[[#This Row],[New Gross Salary]]*Table13[[#This Row],[STI %]]</f>
        <v>17341.428</v>
      </c>
      <c r="Y135" s="96">
        <v>1</v>
      </c>
      <c r="Z135" s="6">
        <f>Table13[[#This Row],[Target STI]]*Table13[[#This Row],[Multiplier]]</f>
        <v>17341.428</v>
      </c>
      <c r="AA135" s="26">
        <v>0.32</v>
      </c>
      <c r="AB135" s="21" t="s">
        <v>9</v>
      </c>
      <c r="AC135" s="24">
        <f>(Table13[[#This Row],[New Gross Salary]]+Table13[[#This Row],[Final STI]])*Table13[[#This Row],[Tax %]]</f>
        <v>33295.54176</v>
      </c>
      <c r="AD135" s="24">
        <f>Table13[[#This Row],[New Gross Salary]]*5%</f>
        <v>4335.357</v>
      </c>
      <c r="AE135" s="21" cm="1">
        <f t="array" ref="AE135">_xlfn.XLOOKUP(AB135,{"A","B","C"},{500,800,1200})</f>
        <v>800</v>
      </c>
      <c r="AF135" s="24">
        <f t="shared" si="5"/>
        <v>38430.898759999996</v>
      </c>
      <c r="AG135" s="27">
        <f>Table13[[#This Row],[New Gross Salary]]+Table13[[#This Row],[Final STI]]-Table13[[#This Row],[Total Deductions
(Tax+Pension+HP)]]</f>
        <v>65617.669240000003</v>
      </c>
    </row>
    <row r="136" spans="1:33" x14ac:dyDescent="0.2">
      <c r="A136" s="20">
        <v>1135</v>
      </c>
      <c r="B136" s="21" t="s">
        <v>147</v>
      </c>
      <c r="C136" s="21" t="s">
        <v>14</v>
      </c>
      <c r="D136" s="21" t="s">
        <v>553</v>
      </c>
      <c r="E136" s="22">
        <v>43831</v>
      </c>
      <c r="F136" s="21" t="s">
        <v>410</v>
      </c>
      <c r="G136" s="21" t="s">
        <v>523</v>
      </c>
      <c r="H136" s="21" t="s">
        <v>520</v>
      </c>
      <c r="I136" s="5" t="s">
        <v>661</v>
      </c>
      <c r="J136" s="21" t="s">
        <v>532</v>
      </c>
      <c r="K136" s="21" t="s">
        <v>540</v>
      </c>
      <c r="L136" s="23">
        <v>89860</v>
      </c>
      <c r="M136" s="23" t="s">
        <v>673</v>
      </c>
      <c r="N136" s="23">
        <v>58000</v>
      </c>
      <c r="O136" s="23">
        <v>75000</v>
      </c>
      <c r="P136" s="23">
        <v>87000</v>
      </c>
      <c r="Q136" s="24">
        <f>Table13[[#This Row],[Monthly Gross Salary]]/Table13[[#This Row],[Mid]]</f>
        <v>1.1981333333333333</v>
      </c>
      <c r="R136" s="23" t="str">
        <f t="shared" si="4"/>
        <v>High</v>
      </c>
      <c r="S136" s="23">
        <v>3</v>
      </c>
      <c r="T136" s="25">
        <f>INDEX('Merit Matrix'!$B$4:$F$8,
       MATCH($S136,'Merit Matrix'!$A$4:$A$8,0),
       MATCH(TRIM($R136),'Merit Matrix'!$B$3:$F$3,0))</f>
        <v>0.01</v>
      </c>
      <c r="U136" s="24">
        <f>Table13[[#This Row],[Salary increase %]]*Table13[[#This Row],[Monthly Gross Salary]]</f>
        <v>898.6</v>
      </c>
      <c r="V136" s="23">
        <f>Table13[[#This Row],[Salary increase Amount]]+Table13[[#This Row],[Monthly Gross Salary]]</f>
        <v>90758.6</v>
      </c>
      <c r="W136" s="75">
        <v>0.2</v>
      </c>
      <c r="X136" s="6">
        <f>Table13[[#This Row],[New Gross Salary]]*Table13[[#This Row],[STI %]]</f>
        <v>18151.72</v>
      </c>
      <c r="Y136" s="96">
        <v>1</v>
      </c>
      <c r="Z136" s="6">
        <f>Table13[[#This Row],[Target STI]]*Table13[[#This Row],[Multiplier]]</f>
        <v>18151.72</v>
      </c>
      <c r="AA136" s="26">
        <v>0.32</v>
      </c>
      <c r="AB136" s="21" t="s">
        <v>6</v>
      </c>
      <c r="AC136" s="24">
        <f>(Table13[[#This Row],[New Gross Salary]]+Table13[[#This Row],[Final STI]])*Table13[[#This Row],[Tax %]]</f>
        <v>34851.3024</v>
      </c>
      <c r="AD136" s="24">
        <f>Table13[[#This Row],[New Gross Salary]]*5%</f>
        <v>4537.93</v>
      </c>
      <c r="AE136" s="21" cm="1">
        <f t="array" ref="AE136">_xlfn.XLOOKUP(AB136,{"A","B","C"},{500,800,1200})</f>
        <v>1200</v>
      </c>
      <c r="AF136" s="24">
        <f t="shared" si="5"/>
        <v>40589.232400000001</v>
      </c>
      <c r="AG136" s="27">
        <f>Table13[[#This Row],[New Gross Salary]]+Table13[[#This Row],[Final STI]]-Table13[[#This Row],[Total Deductions
(Tax+Pension+HP)]]</f>
        <v>68321.087599999999</v>
      </c>
    </row>
    <row r="137" spans="1:33" x14ac:dyDescent="0.2">
      <c r="A137" s="20">
        <v>1136</v>
      </c>
      <c r="B137" s="21" t="s">
        <v>148</v>
      </c>
      <c r="C137" s="21" t="s">
        <v>5</v>
      </c>
      <c r="D137" s="21" t="s">
        <v>550</v>
      </c>
      <c r="E137" s="22">
        <v>43831</v>
      </c>
      <c r="F137" s="21" t="s">
        <v>411</v>
      </c>
      <c r="G137" s="21" t="s">
        <v>523</v>
      </c>
      <c r="H137" s="21" t="s">
        <v>520</v>
      </c>
      <c r="I137" s="5" t="s">
        <v>661</v>
      </c>
      <c r="J137" s="21" t="s">
        <v>532</v>
      </c>
      <c r="K137" s="21" t="s">
        <v>540</v>
      </c>
      <c r="L137" s="23">
        <v>89860</v>
      </c>
      <c r="M137" s="23" t="s">
        <v>673</v>
      </c>
      <c r="N137" s="23">
        <v>58000</v>
      </c>
      <c r="O137" s="23">
        <v>75000</v>
      </c>
      <c r="P137" s="23">
        <v>87000</v>
      </c>
      <c r="Q137" s="24">
        <f>Table13[[#This Row],[Monthly Gross Salary]]/Table13[[#This Row],[Mid]]</f>
        <v>1.1981333333333333</v>
      </c>
      <c r="R137" s="23" t="str">
        <f t="shared" si="4"/>
        <v>High</v>
      </c>
      <c r="S137" s="23">
        <v>3</v>
      </c>
      <c r="T137" s="25">
        <f>INDEX('Merit Matrix'!$B$4:$F$8,
       MATCH($S137,'Merit Matrix'!$A$4:$A$8,0),
       MATCH(TRIM($R137),'Merit Matrix'!$B$3:$F$3,0))</f>
        <v>0.01</v>
      </c>
      <c r="U137" s="24">
        <f>Table13[[#This Row],[Salary increase %]]*Table13[[#This Row],[Monthly Gross Salary]]</f>
        <v>898.6</v>
      </c>
      <c r="V137" s="23">
        <f>Table13[[#This Row],[Salary increase Amount]]+Table13[[#This Row],[Monthly Gross Salary]]</f>
        <v>90758.6</v>
      </c>
      <c r="W137" s="75">
        <v>0.2</v>
      </c>
      <c r="X137" s="6">
        <f>Table13[[#This Row],[New Gross Salary]]*Table13[[#This Row],[STI %]]</f>
        <v>18151.72</v>
      </c>
      <c r="Y137" s="96">
        <v>1</v>
      </c>
      <c r="Z137" s="6">
        <f>Table13[[#This Row],[Target STI]]*Table13[[#This Row],[Multiplier]]</f>
        <v>18151.72</v>
      </c>
      <c r="AA137" s="26">
        <v>0.32</v>
      </c>
      <c r="AB137" s="21" t="s">
        <v>9</v>
      </c>
      <c r="AC137" s="24">
        <f>(Table13[[#This Row],[New Gross Salary]]+Table13[[#This Row],[Final STI]])*Table13[[#This Row],[Tax %]]</f>
        <v>34851.3024</v>
      </c>
      <c r="AD137" s="24">
        <f>Table13[[#This Row],[New Gross Salary]]*5%</f>
        <v>4537.93</v>
      </c>
      <c r="AE137" s="21" cm="1">
        <f t="array" ref="AE137">_xlfn.XLOOKUP(AB137,{"A","B","C"},{500,800,1200})</f>
        <v>800</v>
      </c>
      <c r="AF137" s="24">
        <f t="shared" si="5"/>
        <v>40189.232400000001</v>
      </c>
      <c r="AG137" s="27">
        <f>Table13[[#This Row],[New Gross Salary]]+Table13[[#This Row],[Final STI]]-Table13[[#This Row],[Total Deductions
(Tax+Pension+HP)]]</f>
        <v>68721.087599999999</v>
      </c>
    </row>
    <row r="138" spans="1:33" x14ac:dyDescent="0.2">
      <c r="A138" s="20">
        <v>1137</v>
      </c>
      <c r="B138" s="21" t="s">
        <v>149</v>
      </c>
      <c r="C138" s="21" t="s">
        <v>42</v>
      </c>
      <c r="D138" s="21" t="s">
        <v>555</v>
      </c>
      <c r="E138" s="22">
        <v>44562</v>
      </c>
      <c r="F138" s="21" t="s">
        <v>412</v>
      </c>
      <c r="G138" s="21" t="s">
        <v>522</v>
      </c>
      <c r="H138" s="21" t="s">
        <v>520</v>
      </c>
      <c r="I138" s="5" t="s">
        <v>661</v>
      </c>
      <c r="J138" s="21" t="s">
        <v>533</v>
      </c>
      <c r="K138" s="21" t="s">
        <v>536</v>
      </c>
      <c r="L138" s="23">
        <v>33401</v>
      </c>
      <c r="M138" s="23" t="s">
        <v>673</v>
      </c>
      <c r="N138" s="23">
        <v>30000</v>
      </c>
      <c r="O138" s="23">
        <v>35000</v>
      </c>
      <c r="P138" s="23">
        <v>40000</v>
      </c>
      <c r="Q138" s="24">
        <f>Table13[[#This Row],[Monthly Gross Salary]]/Table13[[#This Row],[Mid]]</f>
        <v>0.95431428571428567</v>
      </c>
      <c r="R138" s="23" t="str">
        <f t="shared" si="4"/>
        <v>Around Mid</v>
      </c>
      <c r="S138" s="23">
        <v>4</v>
      </c>
      <c r="T138" s="25">
        <f>INDEX('Merit Matrix'!$B$4:$F$8,
       MATCH($S138,'Merit Matrix'!$A$4:$A$8,0),
       MATCH(TRIM($R138),'Merit Matrix'!$B$3:$F$3,0))</f>
        <v>0.04</v>
      </c>
      <c r="U138" s="24">
        <f>Table13[[#This Row],[Salary increase %]]*Table13[[#This Row],[Monthly Gross Salary]]</f>
        <v>1336.04</v>
      </c>
      <c r="V138" s="23">
        <f>Table13[[#This Row],[Salary increase Amount]]+Table13[[#This Row],[Monthly Gross Salary]]</f>
        <v>34737.040000000001</v>
      </c>
      <c r="W138" s="75">
        <v>0.1</v>
      </c>
      <c r="X138" s="6">
        <f>Table13[[#This Row],[New Gross Salary]]*Table13[[#This Row],[STI %]]</f>
        <v>3473.7040000000002</v>
      </c>
      <c r="Y138" s="96">
        <v>1.2</v>
      </c>
      <c r="Z138" s="6">
        <f>Table13[[#This Row],[Target STI]]*Table13[[#This Row],[Multiplier]]</f>
        <v>4168.4448000000002</v>
      </c>
      <c r="AA138" s="26">
        <v>0.31</v>
      </c>
      <c r="AB138" s="21" t="s">
        <v>18</v>
      </c>
      <c r="AC138" s="24">
        <f>(Table13[[#This Row],[New Gross Salary]]+Table13[[#This Row],[Final STI]])*Table13[[#This Row],[Tax %]]</f>
        <v>12060.700288</v>
      </c>
      <c r="AD138" s="24">
        <f>Table13[[#This Row],[New Gross Salary]]*5%</f>
        <v>1736.8520000000001</v>
      </c>
      <c r="AE138" s="21" cm="1">
        <f t="array" ref="AE138">_xlfn.XLOOKUP(AB138,{"A","B","C"},{500,800,1200})</f>
        <v>500</v>
      </c>
      <c r="AF138" s="24">
        <f t="shared" si="5"/>
        <v>14297.552288000001</v>
      </c>
      <c r="AG138" s="27">
        <f>Table13[[#This Row],[New Gross Salary]]+Table13[[#This Row],[Final STI]]-Table13[[#This Row],[Total Deductions
(Tax+Pension+HP)]]</f>
        <v>24607.932511999999</v>
      </c>
    </row>
    <row r="139" spans="1:33" x14ac:dyDescent="0.2">
      <c r="A139" s="20">
        <v>1138</v>
      </c>
      <c r="B139" s="21" t="s">
        <v>150</v>
      </c>
      <c r="C139" s="21" t="s">
        <v>17</v>
      </c>
      <c r="D139" s="21" t="s">
        <v>559</v>
      </c>
      <c r="E139" s="22">
        <v>43831</v>
      </c>
      <c r="F139" s="21" t="s">
        <v>413</v>
      </c>
      <c r="G139" s="21" t="s">
        <v>522</v>
      </c>
      <c r="H139" s="21" t="s">
        <v>520</v>
      </c>
      <c r="I139" s="5" t="s">
        <v>661</v>
      </c>
      <c r="J139" s="21" t="s">
        <v>532</v>
      </c>
      <c r="K139" s="21" t="s">
        <v>539</v>
      </c>
      <c r="L139" s="23">
        <v>72351</v>
      </c>
      <c r="M139" s="23" t="s">
        <v>673</v>
      </c>
      <c r="N139" s="23">
        <v>55000</v>
      </c>
      <c r="O139" s="23">
        <v>75000</v>
      </c>
      <c r="P139" s="23">
        <v>85000</v>
      </c>
      <c r="Q139" s="24">
        <f>Table13[[#This Row],[Monthly Gross Salary]]/Table13[[#This Row],[Mid]]</f>
        <v>0.96467999999999998</v>
      </c>
      <c r="R139" s="23" t="str">
        <f t="shared" si="4"/>
        <v>Around Mid</v>
      </c>
      <c r="S139" s="23">
        <v>4</v>
      </c>
      <c r="T139" s="25">
        <f>INDEX('Merit Matrix'!$B$4:$F$8,
       MATCH($S139,'Merit Matrix'!$A$4:$A$8,0),
       MATCH(TRIM($R139),'Merit Matrix'!$B$3:$F$3,0))</f>
        <v>0.04</v>
      </c>
      <c r="U139" s="24">
        <f>Table13[[#This Row],[Salary increase %]]*Table13[[#This Row],[Monthly Gross Salary]]</f>
        <v>2894.04</v>
      </c>
      <c r="V139" s="23">
        <f>Table13[[#This Row],[Salary increase Amount]]+Table13[[#This Row],[Monthly Gross Salary]]</f>
        <v>75245.039999999994</v>
      </c>
      <c r="W139" s="75">
        <v>0.2</v>
      </c>
      <c r="X139" s="6">
        <f>Table13[[#This Row],[New Gross Salary]]*Table13[[#This Row],[STI %]]</f>
        <v>15049.008</v>
      </c>
      <c r="Y139" s="96">
        <v>1.2</v>
      </c>
      <c r="Z139" s="6">
        <f>Table13[[#This Row],[Target STI]]*Table13[[#This Row],[Multiplier]]</f>
        <v>18058.809600000001</v>
      </c>
      <c r="AA139" s="26">
        <v>0.32</v>
      </c>
      <c r="AB139" s="21" t="s">
        <v>18</v>
      </c>
      <c r="AC139" s="24">
        <f>(Table13[[#This Row],[New Gross Salary]]+Table13[[#This Row],[Final STI]])*Table13[[#This Row],[Tax %]]</f>
        <v>29857.231871999997</v>
      </c>
      <c r="AD139" s="24">
        <f>Table13[[#This Row],[New Gross Salary]]*5%</f>
        <v>3762.252</v>
      </c>
      <c r="AE139" s="21" cm="1">
        <f t="array" ref="AE139">_xlfn.XLOOKUP(AB139,{"A","B","C"},{500,800,1200})</f>
        <v>500</v>
      </c>
      <c r="AF139" s="24">
        <f t="shared" si="5"/>
        <v>34119.483871999997</v>
      </c>
      <c r="AG139" s="27">
        <f>Table13[[#This Row],[New Gross Salary]]+Table13[[#This Row],[Final STI]]-Table13[[#This Row],[Total Deductions
(Tax+Pension+HP)]]</f>
        <v>59184.36572799999</v>
      </c>
    </row>
    <row r="140" spans="1:33" x14ac:dyDescent="0.2">
      <c r="A140" s="20">
        <v>1139</v>
      </c>
      <c r="B140" s="21" t="s">
        <v>151</v>
      </c>
      <c r="C140" s="21" t="s">
        <v>11</v>
      </c>
      <c r="D140" s="21" t="s">
        <v>529</v>
      </c>
      <c r="E140" s="22">
        <v>43831</v>
      </c>
      <c r="F140" s="21" t="s">
        <v>414</v>
      </c>
      <c r="G140" s="21" t="s">
        <v>522</v>
      </c>
      <c r="H140" s="21" t="s">
        <v>520</v>
      </c>
      <c r="I140" s="5" t="s">
        <v>661</v>
      </c>
      <c r="J140" s="21" t="s">
        <v>532</v>
      </c>
      <c r="K140" s="21" t="s">
        <v>540</v>
      </c>
      <c r="L140" s="23">
        <v>89860</v>
      </c>
      <c r="M140" s="23" t="s">
        <v>673</v>
      </c>
      <c r="N140" s="23">
        <v>58000</v>
      </c>
      <c r="O140" s="23">
        <v>75000</v>
      </c>
      <c r="P140" s="23">
        <v>87000</v>
      </c>
      <c r="Q140" s="24">
        <f>Table13[[#This Row],[Monthly Gross Salary]]/Table13[[#This Row],[Mid]]</f>
        <v>1.1981333333333333</v>
      </c>
      <c r="R140" s="23" t="str">
        <f t="shared" si="4"/>
        <v>High</v>
      </c>
      <c r="S140" s="23">
        <v>4</v>
      </c>
      <c r="T140" s="25">
        <f>INDEX('Merit Matrix'!$B$4:$F$8,
       MATCH($S140,'Merit Matrix'!$A$4:$A$8,0),
       MATCH(TRIM($R140),'Merit Matrix'!$B$3:$F$3,0))</f>
        <v>1.4999999999999999E-2</v>
      </c>
      <c r="U140" s="24">
        <f>Table13[[#This Row],[Salary increase %]]*Table13[[#This Row],[Monthly Gross Salary]]</f>
        <v>1347.8999999999999</v>
      </c>
      <c r="V140" s="23">
        <f>Table13[[#This Row],[Salary increase Amount]]+Table13[[#This Row],[Monthly Gross Salary]]</f>
        <v>91207.9</v>
      </c>
      <c r="W140" s="75">
        <v>0.2</v>
      </c>
      <c r="X140" s="6">
        <f>Table13[[#This Row],[New Gross Salary]]*Table13[[#This Row],[STI %]]</f>
        <v>18241.579999999998</v>
      </c>
      <c r="Y140" s="96">
        <v>1.2</v>
      </c>
      <c r="Z140" s="6">
        <f>Table13[[#This Row],[Target STI]]*Table13[[#This Row],[Multiplier]]</f>
        <v>21889.895999999997</v>
      </c>
      <c r="AA140" s="26">
        <v>0.32</v>
      </c>
      <c r="AB140" s="21" t="s">
        <v>18</v>
      </c>
      <c r="AC140" s="24">
        <f>(Table13[[#This Row],[New Gross Salary]]+Table13[[#This Row],[Final STI]])*Table13[[#This Row],[Tax %]]</f>
        <v>36191.294719999998</v>
      </c>
      <c r="AD140" s="24">
        <f>Table13[[#This Row],[New Gross Salary]]*5%</f>
        <v>4560.3949999999995</v>
      </c>
      <c r="AE140" s="21" cm="1">
        <f t="array" ref="AE140">_xlfn.XLOOKUP(AB140,{"A","B","C"},{500,800,1200})</f>
        <v>500</v>
      </c>
      <c r="AF140" s="24">
        <f t="shared" si="5"/>
        <v>41251.689719999995</v>
      </c>
      <c r="AG140" s="27">
        <f>Table13[[#This Row],[New Gross Salary]]+Table13[[#This Row],[Final STI]]-Table13[[#This Row],[Total Deductions
(Tax+Pension+HP)]]</f>
        <v>71846.106279999993</v>
      </c>
    </row>
    <row r="141" spans="1:33" x14ac:dyDescent="0.2">
      <c r="A141" s="20">
        <v>1140</v>
      </c>
      <c r="B141" s="21" t="s">
        <v>152</v>
      </c>
      <c r="C141" s="21" t="s">
        <v>17</v>
      </c>
      <c r="D141" s="21" t="s">
        <v>559</v>
      </c>
      <c r="E141" s="22">
        <v>43831</v>
      </c>
      <c r="F141" s="21" t="s">
        <v>415</v>
      </c>
      <c r="G141" s="21" t="s">
        <v>522</v>
      </c>
      <c r="H141" s="21" t="s">
        <v>520</v>
      </c>
      <c r="I141" s="5" t="s">
        <v>661</v>
      </c>
      <c r="J141" s="21" t="s">
        <v>532</v>
      </c>
      <c r="K141" s="21" t="s">
        <v>539</v>
      </c>
      <c r="L141" s="23">
        <v>72351</v>
      </c>
      <c r="M141" s="23" t="s">
        <v>673</v>
      </c>
      <c r="N141" s="23">
        <v>55000</v>
      </c>
      <c r="O141" s="23">
        <v>75000</v>
      </c>
      <c r="P141" s="23">
        <v>85000</v>
      </c>
      <c r="Q141" s="24">
        <f>Table13[[#This Row],[Monthly Gross Salary]]/Table13[[#This Row],[Mid]]</f>
        <v>0.96467999999999998</v>
      </c>
      <c r="R141" s="23" t="str">
        <f t="shared" si="4"/>
        <v>Around Mid</v>
      </c>
      <c r="S141" s="23">
        <v>4</v>
      </c>
      <c r="T141" s="25">
        <f>INDEX('Merit Matrix'!$B$4:$F$8,
       MATCH($S141,'Merit Matrix'!$A$4:$A$8,0),
       MATCH(TRIM($R141),'Merit Matrix'!$B$3:$F$3,0))</f>
        <v>0.04</v>
      </c>
      <c r="U141" s="24">
        <f>Table13[[#This Row],[Salary increase %]]*Table13[[#This Row],[Monthly Gross Salary]]</f>
        <v>2894.04</v>
      </c>
      <c r="V141" s="23">
        <f>Table13[[#This Row],[Salary increase Amount]]+Table13[[#This Row],[Monthly Gross Salary]]</f>
        <v>75245.039999999994</v>
      </c>
      <c r="W141" s="75">
        <v>0.2</v>
      </c>
      <c r="X141" s="6">
        <f>Table13[[#This Row],[New Gross Salary]]*Table13[[#This Row],[STI %]]</f>
        <v>15049.008</v>
      </c>
      <c r="Y141" s="96">
        <v>1.2</v>
      </c>
      <c r="Z141" s="6">
        <f>Table13[[#This Row],[Target STI]]*Table13[[#This Row],[Multiplier]]</f>
        <v>18058.809600000001</v>
      </c>
      <c r="AA141" s="26">
        <v>0.32</v>
      </c>
      <c r="AB141" s="21" t="s">
        <v>9</v>
      </c>
      <c r="AC141" s="24">
        <f>(Table13[[#This Row],[New Gross Salary]]+Table13[[#This Row],[Final STI]])*Table13[[#This Row],[Tax %]]</f>
        <v>29857.231871999997</v>
      </c>
      <c r="AD141" s="24">
        <f>Table13[[#This Row],[New Gross Salary]]*5%</f>
        <v>3762.252</v>
      </c>
      <c r="AE141" s="21" cm="1">
        <f t="array" ref="AE141">_xlfn.XLOOKUP(AB141,{"A","B","C"},{500,800,1200})</f>
        <v>800</v>
      </c>
      <c r="AF141" s="24">
        <f t="shared" si="5"/>
        <v>34419.483871999997</v>
      </c>
      <c r="AG141" s="27">
        <f>Table13[[#This Row],[New Gross Salary]]+Table13[[#This Row],[Final STI]]-Table13[[#This Row],[Total Deductions
(Tax+Pension+HP)]]</f>
        <v>58884.36572799999</v>
      </c>
    </row>
    <row r="142" spans="1:33" x14ac:dyDescent="0.2">
      <c r="A142" s="20">
        <v>1141</v>
      </c>
      <c r="B142" s="21" t="s">
        <v>153</v>
      </c>
      <c r="C142" s="21" t="s">
        <v>17</v>
      </c>
      <c r="D142" s="21" t="s">
        <v>559</v>
      </c>
      <c r="E142" s="22">
        <v>43831</v>
      </c>
      <c r="F142" s="21" t="s">
        <v>416</v>
      </c>
      <c r="G142" s="21" t="s">
        <v>522</v>
      </c>
      <c r="H142" s="21" t="s">
        <v>520</v>
      </c>
      <c r="I142" s="5" t="s">
        <v>661</v>
      </c>
      <c r="J142" s="21" t="s">
        <v>532</v>
      </c>
      <c r="K142" s="21" t="s">
        <v>539</v>
      </c>
      <c r="L142" s="23">
        <v>72351</v>
      </c>
      <c r="M142" s="23" t="s">
        <v>673</v>
      </c>
      <c r="N142" s="23">
        <v>55000</v>
      </c>
      <c r="O142" s="23">
        <v>75000</v>
      </c>
      <c r="P142" s="23">
        <v>85000</v>
      </c>
      <c r="Q142" s="24">
        <f>Table13[[#This Row],[Monthly Gross Salary]]/Table13[[#This Row],[Mid]]</f>
        <v>0.96467999999999998</v>
      </c>
      <c r="R142" s="23" t="str">
        <f t="shared" si="4"/>
        <v>Around Mid</v>
      </c>
      <c r="S142" s="23">
        <v>4</v>
      </c>
      <c r="T142" s="25">
        <f>INDEX('Merit Matrix'!$B$4:$F$8,
       MATCH($S142,'Merit Matrix'!$A$4:$A$8,0),
       MATCH(TRIM($R142),'Merit Matrix'!$B$3:$F$3,0))</f>
        <v>0.04</v>
      </c>
      <c r="U142" s="24">
        <f>Table13[[#This Row],[Salary increase %]]*Table13[[#This Row],[Monthly Gross Salary]]</f>
        <v>2894.04</v>
      </c>
      <c r="V142" s="23">
        <f>Table13[[#This Row],[Salary increase Amount]]+Table13[[#This Row],[Monthly Gross Salary]]</f>
        <v>75245.039999999994</v>
      </c>
      <c r="W142" s="75">
        <v>0.2</v>
      </c>
      <c r="X142" s="6">
        <f>Table13[[#This Row],[New Gross Salary]]*Table13[[#This Row],[STI %]]</f>
        <v>15049.008</v>
      </c>
      <c r="Y142" s="96">
        <v>1.2</v>
      </c>
      <c r="Z142" s="6">
        <f>Table13[[#This Row],[Target STI]]*Table13[[#This Row],[Multiplier]]</f>
        <v>18058.809600000001</v>
      </c>
      <c r="AA142" s="26">
        <v>0.31</v>
      </c>
      <c r="AB142" s="21" t="s">
        <v>6</v>
      </c>
      <c r="AC142" s="24">
        <f>(Table13[[#This Row],[New Gross Salary]]+Table13[[#This Row],[Final STI]])*Table13[[#This Row],[Tax %]]</f>
        <v>28924.193375999996</v>
      </c>
      <c r="AD142" s="24">
        <f>Table13[[#This Row],[New Gross Salary]]*5%</f>
        <v>3762.252</v>
      </c>
      <c r="AE142" s="21" cm="1">
        <f t="array" ref="AE142">_xlfn.XLOOKUP(AB142,{"A","B","C"},{500,800,1200})</f>
        <v>1200</v>
      </c>
      <c r="AF142" s="24">
        <f t="shared" si="5"/>
        <v>33886.445375999996</v>
      </c>
      <c r="AG142" s="27">
        <f>Table13[[#This Row],[New Gross Salary]]+Table13[[#This Row],[Final STI]]-Table13[[#This Row],[Total Deductions
(Tax+Pension+HP)]]</f>
        <v>59417.404223999991</v>
      </c>
    </row>
    <row r="143" spans="1:33" x14ac:dyDescent="0.2">
      <c r="A143" s="20">
        <v>1142</v>
      </c>
      <c r="B143" s="21" t="s">
        <v>154</v>
      </c>
      <c r="C143" s="21" t="s">
        <v>17</v>
      </c>
      <c r="D143" s="21" t="s">
        <v>559</v>
      </c>
      <c r="E143" s="22">
        <v>43831</v>
      </c>
      <c r="F143" s="21" t="s">
        <v>417</v>
      </c>
      <c r="G143" s="21" t="s">
        <v>522</v>
      </c>
      <c r="H143" s="21" t="s">
        <v>520</v>
      </c>
      <c r="I143" s="5" t="s">
        <v>661</v>
      </c>
      <c r="J143" s="21" t="s">
        <v>532</v>
      </c>
      <c r="K143" s="21" t="s">
        <v>539</v>
      </c>
      <c r="L143" s="23">
        <v>72351</v>
      </c>
      <c r="M143" s="23" t="s">
        <v>673</v>
      </c>
      <c r="N143" s="23">
        <v>55000</v>
      </c>
      <c r="O143" s="23">
        <v>75000</v>
      </c>
      <c r="P143" s="23">
        <v>85000</v>
      </c>
      <c r="Q143" s="24">
        <f>Table13[[#This Row],[Monthly Gross Salary]]/Table13[[#This Row],[Mid]]</f>
        <v>0.96467999999999998</v>
      </c>
      <c r="R143" s="23" t="str">
        <f t="shared" si="4"/>
        <v>Around Mid</v>
      </c>
      <c r="S143" s="23">
        <v>4</v>
      </c>
      <c r="T143" s="25">
        <f>INDEX('Merit Matrix'!$B$4:$F$8,
       MATCH($S143,'Merit Matrix'!$A$4:$A$8,0),
       MATCH(TRIM($R143),'Merit Matrix'!$B$3:$F$3,0))</f>
        <v>0.04</v>
      </c>
      <c r="U143" s="24">
        <f>Table13[[#This Row],[Salary increase %]]*Table13[[#This Row],[Monthly Gross Salary]]</f>
        <v>2894.04</v>
      </c>
      <c r="V143" s="23">
        <f>Table13[[#This Row],[Salary increase Amount]]+Table13[[#This Row],[Monthly Gross Salary]]</f>
        <v>75245.039999999994</v>
      </c>
      <c r="W143" s="75">
        <v>0.2</v>
      </c>
      <c r="X143" s="6">
        <f>Table13[[#This Row],[New Gross Salary]]*Table13[[#This Row],[STI %]]</f>
        <v>15049.008</v>
      </c>
      <c r="Y143" s="96">
        <v>1.2</v>
      </c>
      <c r="Z143" s="6">
        <f>Table13[[#This Row],[Target STI]]*Table13[[#This Row],[Multiplier]]</f>
        <v>18058.809600000001</v>
      </c>
      <c r="AA143" s="26">
        <v>0.32</v>
      </c>
      <c r="AB143" s="21" t="s">
        <v>6</v>
      </c>
      <c r="AC143" s="24">
        <f>(Table13[[#This Row],[New Gross Salary]]+Table13[[#This Row],[Final STI]])*Table13[[#This Row],[Tax %]]</f>
        <v>29857.231871999997</v>
      </c>
      <c r="AD143" s="24">
        <f>Table13[[#This Row],[New Gross Salary]]*5%</f>
        <v>3762.252</v>
      </c>
      <c r="AE143" s="21" cm="1">
        <f t="array" ref="AE143">_xlfn.XLOOKUP(AB143,{"A","B","C"},{500,800,1200})</f>
        <v>1200</v>
      </c>
      <c r="AF143" s="24">
        <f t="shared" si="5"/>
        <v>34819.483871999997</v>
      </c>
      <c r="AG143" s="27">
        <f>Table13[[#This Row],[New Gross Salary]]+Table13[[#This Row],[Final STI]]-Table13[[#This Row],[Total Deductions
(Tax+Pension+HP)]]</f>
        <v>58484.36572799999</v>
      </c>
    </row>
    <row r="144" spans="1:33" x14ac:dyDescent="0.2">
      <c r="A144" s="20">
        <v>1143</v>
      </c>
      <c r="B144" s="21" t="s">
        <v>155</v>
      </c>
      <c r="C144" s="21" t="s">
        <v>8</v>
      </c>
      <c r="D144" s="21" t="s">
        <v>544</v>
      </c>
      <c r="E144" s="22">
        <v>44562</v>
      </c>
      <c r="F144" s="21" t="s">
        <v>418</v>
      </c>
      <c r="G144" s="21" t="s">
        <v>522</v>
      </c>
      <c r="H144" s="21" t="s">
        <v>520</v>
      </c>
      <c r="I144" s="5" t="s">
        <v>661</v>
      </c>
      <c r="J144" s="21" t="s">
        <v>535</v>
      </c>
      <c r="K144" s="21" t="s">
        <v>538</v>
      </c>
      <c r="L144" s="23">
        <v>47000</v>
      </c>
      <c r="M144" s="23" t="s">
        <v>673</v>
      </c>
      <c r="N144" s="23">
        <v>38000</v>
      </c>
      <c r="O144" s="23">
        <v>50000</v>
      </c>
      <c r="P144" s="23">
        <v>56000</v>
      </c>
      <c r="Q144" s="24">
        <f>Table13[[#This Row],[Monthly Gross Salary]]/Table13[[#This Row],[Mid]]</f>
        <v>0.94</v>
      </c>
      <c r="R144" s="23" t="str">
        <f t="shared" si="4"/>
        <v>Below Mid</v>
      </c>
      <c r="S144" s="23">
        <v>4</v>
      </c>
      <c r="T144" s="25">
        <f>INDEX('Merit Matrix'!$B$4:$F$8,
       MATCH($S144,'Merit Matrix'!$A$4:$A$8,0),
       MATCH(TRIM($R144),'Merit Matrix'!$B$3:$F$3,0))</f>
        <v>0.05</v>
      </c>
      <c r="U144" s="24">
        <f>Table13[[#This Row],[Salary increase %]]*Table13[[#This Row],[Monthly Gross Salary]]</f>
        <v>2350</v>
      </c>
      <c r="V144" s="23">
        <f>Table13[[#This Row],[Salary increase Amount]]+Table13[[#This Row],[Monthly Gross Salary]]</f>
        <v>49350</v>
      </c>
      <c r="W144" s="75">
        <v>0.2</v>
      </c>
      <c r="X144" s="6">
        <f>Table13[[#This Row],[New Gross Salary]]*Table13[[#This Row],[STI %]]</f>
        <v>9870</v>
      </c>
      <c r="Y144" s="96">
        <v>1.2</v>
      </c>
      <c r="Z144" s="6">
        <f>Table13[[#This Row],[Target STI]]*Table13[[#This Row],[Multiplier]]</f>
        <v>11844</v>
      </c>
      <c r="AA144" s="26">
        <v>0.3</v>
      </c>
      <c r="AB144" s="21" t="s">
        <v>6</v>
      </c>
      <c r="AC144" s="24">
        <f>(Table13[[#This Row],[New Gross Salary]]+Table13[[#This Row],[Final STI]])*Table13[[#This Row],[Tax %]]</f>
        <v>18358.2</v>
      </c>
      <c r="AD144" s="24">
        <f>Table13[[#This Row],[New Gross Salary]]*5%</f>
        <v>2467.5</v>
      </c>
      <c r="AE144" s="21" cm="1">
        <f t="array" ref="AE144">_xlfn.XLOOKUP(AB144,{"A","B","C"},{500,800,1200})</f>
        <v>1200</v>
      </c>
      <c r="AF144" s="24">
        <f t="shared" si="5"/>
        <v>22025.7</v>
      </c>
      <c r="AG144" s="27">
        <f>Table13[[#This Row],[New Gross Salary]]+Table13[[#This Row],[Final STI]]-Table13[[#This Row],[Total Deductions
(Tax+Pension+HP)]]</f>
        <v>39168.300000000003</v>
      </c>
    </row>
    <row r="145" spans="1:33" x14ac:dyDescent="0.2">
      <c r="A145" s="20">
        <v>1144</v>
      </c>
      <c r="B145" s="21" t="s">
        <v>156</v>
      </c>
      <c r="C145" s="21" t="s">
        <v>17</v>
      </c>
      <c r="D145" s="21" t="s">
        <v>559</v>
      </c>
      <c r="E145" s="22">
        <v>43831</v>
      </c>
      <c r="F145" s="21" t="s">
        <v>419</v>
      </c>
      <c r="G145" s="21" t="s">
        <v>522</v>
      </c>
      <c r="H145" s="21" t="s">
        <v>520</v>
      </c>
      <c r="I145" s="5" t="s">
        <v>661</v>
      </c>
      <c r="J145" s="21" t="s">
        <v>532</v>
      </c>
      <c r="K145" s="21" t="s">
        <v>539</v>
      </c>
      <c r="L145" s="23">
        <v>72351</v>
      </c>
      <c r="M145" s="23" t="s">
        <v>673</v>
      </c>
      <c r="N145" s="23">
        <v>55000</v>
      </c>
      <c r="O145" s="23">
        <v>75000</v>
      </c>
      <c r="P145" s="23">
        <v>85000</v>
      </c>
      <c r="Q145" s="24">
        <f>Table13[[#This Row],[Monthly Gross Salary]]/Table13[[#This Row],[Mid]]</f>
        <v>0.96467999999999998</v>
      </c>
      <c r="R145" s="23" t="str">
        <f t="shared" si="4"/>
        <v>Around Mid</v>
      </c>
      <c r="S145" s="23">
        <v>4</v>
      </c>
      <c r="T145" s="25">
        <f>INDEX('Merit Matrix'!$B$4:$F$8,
       MATCH($S145,'Merit Matrix'!$A$4:$A$8,0),
       MATCH(TRIM($R145),'Merit Matrix'!$B$3:$F$3,0))</f>
        <v>0.04</v>
      </c>
      <c r="U145" s="24">
        <f>Table13[[#This Row],[Salary increase %]]*Table13[[#This Row],[Monthly Gross Salary]]</f>
        <v>2894.04</v>
      </c>
      <c r="V145" s="23">
        <f>Table13[[#This Row],[Salary increase Amount]]+Table13[[#This Row],[Monthly Gross Salary]]</f>
        <v>75245.039999999994</v>
      </c>
      <c r="W145" s="75">
        <v>0.2</v>
      </c>
      <c r="X145" s="6">
        <f>Table13[[#This Row],[New Gross Salary]]*Table13[[#This Row],[STI %]]</f>
        <v>15049.008</v>
      </c>
      <c r="Y145" s="96">
        <v>1.2</v>
      </c>
      <c r="Z145" s="6">
        <f>Table13[[#This Row],[Target STI]]*Table13[[#This Row],[Multiplier]]</f>
        <v>18058.809600000001</v>
      </c>
      <c r="AA145" s="26">
        <v>0.3</v>
      </c>
      <c r="AB145" s="21" t="s">
        <v>18</v>
      </c>
      <c r="AC145" s="24">
        <f>(Table13[[#This Row],[New Gross Salary]]+Table13[[#This Row],[Final STI]])*Table13[[#This Row],[Tax %]]</f>
        <v>27991.154879999995</v>
      </c>
      <c r="AD145" s="24">
        <f>Table13[[#This Row],[New Gross Salary]]*5%</f>
        <v>3762.252</v>
      </c>
      <c r="AE145" s="21" cm="1">
        <f t="array" ref="AE145">_xlfn.XLOOKUP(AB145,{"A","B","C"},{500,800,1200})</f>
        <v>500</v>
      </c>
      <c r="AF145" s="24">
        <f t="shared" si="5"/>
        <v>32253.406879999995</v>
      </c>
      <c r="AG145" s="27">
        <f>Table13[[#This Row],[New Gross Salary]]+Table13[[#This Row],[Final STI]]-Table13[[#This Row],[Total Deductions
(Tax+Pension+HP)]]</f>
        <v>61050.442719999992</v>
      </c>
    </row>
    <row r="146" spans="1:33" x14ac:dyDescent="0.2">
      <c r="A146" s="20">
        <v>1145</v>
      </c>
      <c r="B146" s="21" t="s">
        <v>157</v>
      </c>
      <c r="C146" s="21" t="s">
        <v>42</v>
      </c>
      <c r="D146" s="21" t="s">
        <v>555</v>
      </c>
      <c r="E146" s="22">
        <v>44562</v>
      </c>
      <c r="F146" s="21" t="s">
        <v>420</v>
      </c>
      <c r="G146" s="21" t="s">
        <v>522</v>
      </c>
      <c r="H146" s="21" t="s">
        <v>520</v>
      </c>
      <c r="I146" s="5" t="s">
        <v>661</v>
      </c>
      <c r="J146" s="21" t="s">
        <v>533</v>
      </c>
      <c r="K146" s="21" t="s">
        <v>536</v>
      </c>
      <c r="L146" s="23">
        <v>33401</v>
      </c>
      <c r="M146" s="23" t="s">
        <v>673</v>
      </c>
      <c r="N146" s="23">
        <v>30000</v>
      </c>
      <c r="O146" s="23">
        <v>35000</v>
      </c>
      <c r="P146" s="23">
        <v>40000</v>
      </c>
      <c r="Q146" s="24">
        <f>Table13[[#This Row],[Monthly Gross Salary]]/Table13[[#This Row],[Mid]]</f>
        <v>0.95431428571428567</v>
      </c>
      <c r="R146" s="23" t="str">
        <f t="shared" si="4"/>
        <v>Around Mid</v>
      </c>
      <c r="S146" s="23">
        <v>4</v>
      </c>
      <c r="T146" s="25">
        <f>INDEX('Merit Matrix'!$B$4:$F$8,
       MATCH($S146,'Merit Matrix'!$A$4:$A$8,0),
       MATCH(TRIM($R146),'Merit Matrix'!$B$3:$F$3,0))</f>
        <v>0.04</v>
      </c>
      <c r="U146" s="24">
        <f>Table13[[#This Row],[Salary increase %]]*Table13[[#This Row],[Monthly Gross Salary]]</f>
        <v>1336.04</v>
      </c>
      <c r="V146" s="23">
        <f>Table13[[#This Row],[Salary increase Amount]]+Table13[[#This Row],[Monthly Gross Salary]]</f>
        <v>34737.040000000001</v>
      </c>
      <c r="W146" s="75">
        <v>0.1</v>
      </c>
      <c r="X146" s="6">
        <f>Table13[[#This Row],[New Gross Salary]]*Table13[[#This Row],[STI %]]</f>
        <v>3473.7040000000002</v>
      </c>
      <c r="Y146" s="96">
        <v>1.2</v>
      </c>
      <c r="Z146" s="6">
        <f>Table13[[#This Row],[Target STI]]*Table13[[#This Row],[Multiplier]]</f>
        <v>4168.4448000000002</v>
      </c>
      <c r="AA146" s="26">
        <v>0.28999999999999998</v>
      </c>
      <c r="AB146" s="21" t="s">
        <v>9</v>
      </c>
      <c r="AC146" s="24">
        <f>(Table13[[#This Row],[New Gross Salary]]+Table13[[#This Row],[Final STI]])*Table13[[#This Row],[Tax %]]</f>
        <v>11282.590591999999</v>
      </c>
      <c r="AD146" s="24">
        <f>Table13[[#This Row],[New Gross Salary]]*5%</f>
        <v>1736.8520000000001</v>
      </c>
      <c r="AE146" s="21" cm="1">
        <f t="array" ref="AE146">_xlfn.XLOOKUP(AB146,{"A","B","C"},{500,800,1200})</f>
        <v>800</v>
      </c>
      <c r="AF146" s="24">
        <f t="shared" si="5"/>
        <v>13819.442591999999</v>
      </c>
      <c r="AG146" s="27">
        <f>Table13[[#This Row],[New Gross Salary]]+Table13[[#This Row],[Final STI]]-Table13[[#This Row],[Total Deductions
(Tax+Pension+HP)]]</f>
        <v>25086.042207999999</v>
      </c>
    </row>
    <row r="147" spans="1:33" x14ac:dyDescent="0.2">
      <c r="A147" s="20">
        <v>1146</v>
      </c>
      <c r="B147" s="21" t="s">
        <v>158</v>
      </c>
      <c r="C147" s="21" t="s">
        <v>5</v>
      </c>
      <c r="D147" s="21" t="s">
        <v>550</v>
      </c>
      <c r="E147" s="22">
        <v>43831</v>
      </c>
      <c r="F147" s="21" t="s">
        <v>421</v>
      </c>
      <c r="G147" s="21" t="s">
        <v>522</v>
      </c>
      <c r="H147" s="21" t="s">
        <v>520</v>
      </c>
      <c r="I147" s="5" t="s">
        <v>661</v>
      </c>
      <c r="J147" s="21" t="s">
        <v>532</v>
      </c>
      <c r="K147" s="21" t="s">
        <v>540</v>
      </c>
      <c r="L147" s="23">
        <v>89860</v>
      </c>
      <c r="M147" s="23" t="s">
        <v>673</v>
      </c>
      <c r="N147" s="23">
        <v>58000</v>
      </c>
      <c r="O147" s="23">
        <v>75000</v>
      </c>
      <c r="P147" s="23">
        <v>87000</v>
      </c>
      <c r="Q147" s="24">
        <f>Table13[[#This Row],[Monthly Gross Salary]]/Table13[[#This Row],[Mid]]</f>
        <v>1.1981333333333333</v>
      </c>
      <c r="R147" s="23" t="str">
        <f t="shared" si="4"/>
        <v>High</v>
      </c>
      <c r="S147" s="23">
        <v>4</v>
      </c>
      <c r="T147" s="25">
        <f>INDEX('Merit Matrix'!$B$4:$F$8,
       MATCH($S147,'Merit Matrix'!$A$4:$A$8,0),
       MATCH(TRIM($R147),'Merit Matrix'!$B$3:$F$3,0))</f>
        <v>1.4999999999999999E-2</v>
      </c>
      <c r="U147" s="24">
        <f>Table13[[#This Row],[Salary increase %]]*Table13[[#This Row],[Monthly Gross Salary]]</f>
        <v>1347.8999999999999</v>
      </c>
      <c r="V147" s="23">
        <f>Table13[[#This Row],[Salary increase Amount]]+Table13[[#This Row],[Monthly Gross Salary]]</f>
        <v>91207.9</v>
      </c>
      <c r="W147" s="75">
        <v>0.2</v>
      </c>
      <c r="X147" s="6">
        <f>Table13[[#This Row],[New Gross Salary]]*Table13[[#This Row],[STI %]]</f>
        <v>18241.579999999998</v>
      </c>
      <c r="Y147" s="96">
        <v>1.2</v>
      </c>
      <c r="Z147" s="6">
        <f>Table13[[#This Row],[Target STI]]*Table13[[#This Row],[Multiplier]]</f>
        <v>21889.895999999997</v>
      </c>
      <c r="AA147" s="26">
        <v>0.32</v>
      </c>
      <c r="AB147" s="21" t="s">
        <v>18</v>
      </c>
      <c r="AC147" s="24">
        <f>(Table13[[#This Row],[New Gross Salary]]+Table13[[#This Row],[Final STI]])*Table13[[#This Row],[Tax %]]</f>
        <v>36191.294719999998</v>
      </c>
      <c r="AD147" s="24">
        <f>Table13[[#This Row],[New Gross Salary]]*5%</f>
        <v>4560.3949999999995</v>
      </c>
      <c r="AE147" s="21" cm="1">
        <f t="array" ref="AE147">_xlfn.XLOOKUP(AB147,{"A","B","C"},{500,800,1200})</f>
        <v>500</v>
      </c>
      <c r="AF147" s="24">
        <f t="shared" si="5"/>
        <v>41251.689719999995</v>
      </c>
      <c r="AG147" s="27">
        <f>Table13[[#This Row],[New Gross Salary]]+Table13[[#This Row],[Final STI]]-Table13[[#This Row],[Total Deductions
(Tax+Pension+HP)]]</f>
        <v>71846.106279999993</v>
      </c>
    </row>
    <row r="148" spans="1:33" x14ac:dyDescent="0.2">
      <c r="A148" s="20">
        <v>1147</v>
      </c>
      <c r="B148" s="21" t="s">
        <v>159</v>
      </c>
      <c r="C148" s="21" t="s">
        <v>14</v>
      </c>
      <c r="D148" s="21" t="s">
        <v>553</v>
      </c>
      <c r="E148" s="22">
        <v>43831</v>
      </c>
      <c r="F148" s="21" t="s">
        <v>422</v>
      </c>
      <c r="G148" s="21" t="s">
        <v>522</v>
      </c>
      <c r="H148" s="21" t="s">
        <v>520</v>
      </c>
      <c r="I148" s="5" t="s">
        <v>661</v>
      </c>
      <c r="J148" s="21" t="s">
        <v>532</v>
      </c>
      <c r="K148" s="21" t="s">
        <v>540</v>
      </c>
      <c r="L148" s="23">
        <v>89860</v>
      </c>
      <c r="M148" s="23" t="s">
        <v>673</v>
      </c>
      <c r="N148" s="23">
        <v>58000</v>
      </c>
      <c r="O148" s="23">
        <v>75000</v>
      </c>
      <c r="P148" s="23">
        <v>87000</v>
      </c>
      <c r="Q148" s="24">
        <f>Table13[[#This Row],[Monthly Gross Salary]]/Table13[[#This Row],[Mid]]</f>
        <v>1.1981333333333333</v>
      </c>
      <c r="R148" s="23" t="str">
        <f t="shared" si="4"/>
        <v>High</v>
      </c>
      <c r="S148" s="23">
        <v>4</v>
      </c>
      <c r="T148" s="25">
        <f>INDEX('Merit Matrix'!$B$4:$F$8,
       MATCH($S148,'Merit Matrix'!$A$4:$A$8,0),
       MATCH(TRIM($R148),'Merit Matrix'!$B$3:$F$3,0))</f>
        <v>1.4999999999999999E-2</v>
      </c>
      <c r="U148" s="24">
        <f>Table13[[#This Row],[Salary increase %]]*Table13[[#This Row],[Monthly Gross Salary]]</f>
        <v>1347.8999999999999</v>
      </c>
      <c r="V148" s="23">
        <f>Table13[[#This Row],[Salary increase Amount]]+Table13[[#This Row],[Monthly Gross Salary]]</f>
        <v>91207.9</v>
      </c>
      <c r="W148" s="75">
        <v>0.2</v>
      </c>
      <c r="X148" s="6">
        <f>Table13[[#This Row],[New Gross Salary]]*Table13[[#This Row],[STI %]]</f>
        <v>18241.579999999998</v>
      </c>
      <c r="Y148" s="96">
        <v>1.2</v>
      </c>
      <c r="Z148" s="6">
        <f>Table13[[#This Row],[Target STI]]*Table13[[#This Row],[Multiplier]]</f>
        <v>21889.895999999997</v>
      </c>
      <c r="AA148" s="26">
        <v>0.32</v>
      </c>
      <c r="AB148" s="21" t="s">
        <v>6</v>
      </c>
      <c r="AC148" s="24">
        <f>(Table13[[#This Row],[New Gross Salary]]+Table13[[#This Row],[Final STI]])*Table13[[#This Row],[Tax %]]</f>
        <v>36191.294719999998</v>
      </c>
      <c r="AD148" s="24">
        <f>Table13[[#This Row],[New Gross Salary]]*5%</f>
        <v>4560.3949999999995</v>
      </c>
      <c r="AE148" s="21" cm="1">
        <f t="array" ref="AE148">_xlfn.XLOOKUP(AB148,{"A","B","C"},{500,800,1200})</f>
        <v>1200</v>
      </c>
      <c r="AF148" s="24">
        <f t="shared" si="5"/>
        <v>41951.689719999995</v>
      </c>
      <c r="AG148" s="27">
        <f>Table13[[#This Row],[New Gross Salary]]+Table13[[#This Row],[Final STI]]-Table13[[#This Row],[Total Deductions
(Tax+Pension+HP)]]</f>
        <v>71146.106279999993</v>
      </c>
    </row>
    <row r="149" spans="1:33" x14ac:dyDescent="0.2">
      <c r="A149" s="20">
        <v>1148</v>
      </c>
      <c r="B149" s="21" t="s">
        <v>160</v>
      </c>
      <c r="C149" s="21" t="s">
        <v>5</v>
      </c>
      <c r="D149" s="21" t="s">
        <v>550</v>
      </c>
      <c r="E149" s="22">
        <v>43831</v>
      </c>
      <c r="F149" s="21" t="s">
        <v>423</v>
      </c>
      <c r="G149" s="21" t="s">
        <v>522</v>
      </c>
      <c r="H149" s="21" t="s">
        <v>520</v>
      </c>
      <c r="I149" s="5" t="s">
        <v>661</v>
      </c>
      <c r="J149" s="21" t="s">
        <v>532</v>
      </c>
      <c r="K149" s="21" t="s">
        <v>540</v>
      </c>
      <c r="L149" s="23">
        <v>89860</v>
      </c>
      <c r="M149" s="23" t="s">
        <v>673</v>
      </c>
      <c r="N149" s="23">
        <v>58000</v>
      </c>
      <c r="O149" s="23">
        <v>75000</v>
      </c>
      <c r="P149" s="23">
        <v>87000</v>
      </c>
      <c r="Q149" s="24">
        <f>Table13[[#This Row],[Monthly Gross Salary]]/Table13[[#This Row],[Mid]]</f>
        <v>1.1981333333333333</v>
      </c>
      <c r="R149" s="23" t="str">
        <f t="shared" si="4"/>
        <v>High</v>
      </c>
      <c r="S149" s="23">
        <v>4</v>
      </c>
      <c r="T149" s="25">
        <f>INDEX('Merit Matrix'!$B$4:$F$8,
       MATCH($S149,'Merit Matrix'!$A$4:$A$8,0),
       MATCH(TRIM($R149),'Merit Matrix'!$B$3:$F$3,0))</f>
        <v>1.4999999999999999E-2</v>
      </c>
      <c r="U149" s="24">
        <f>Table13[[#This Row],[Salary increase %]]*Table13[[#This Row],[Monthly Gross Salary]]</f>
        <v>1347.8999999999999</v>
      </c>
      <c r="V149" s="23">
        <f>Table13[[#This Row],[Salary increase Amount]]+Table13[[#This Row],[Monthly Gross Salary]]</f>
        <v>91207.9</v>
      </c>
      <c r="W149" s="75">
        <v>0.2</v>
      </c>
      <c r="X149" s="6">
        <f>Table13[[#This Row],[New Gross Salary]]*Table13[[#This Row],[STI %]]</f>
        <v>18241.579999999998</v>
      </c>
      <c r="Y149" s="96">
        <v>1.2</v>
      </c>
      <c r="Z149" s="6">
        <f>Table13[[#This Row],[Target STI]]*Table13[[#This Row],[Multiplier]]</f>
        <v>21889.895999999997</v>
      </c>
      <c r="AA149" s="26">
        <v>0.3</v>
      </c>
      <c r="AB149" s="21" t="s">
        <v>18</v>
      </c>
      <c r="AC149" s="24">
        <f>(Table13[[#This Row],[New Gross Salary]]+Table13[[#This Row],[Final STI]])*Table13[[#This Row],[Tax %]]</f>
        <v>33929.338799999998</v>
      </c>
      <c r="AD149" s="24">
        <f>Table13[[#This Row],[New Gross Salary]]*5%</f>
        <v>4560.3949999999995</v>
      </c>
      <c r="AE149" s="21" cm="1">
        <f t="array" ref="AE149">_xlfn.XLOOKUP(AB149,{"A","B","C"},{500,800,1200})</f>
        <v>500</v>
      </c>
      <c r="AF149" s="24">
        <f t="shared" si="5"/>
        <v>38989.733799999995</v>
      </c>
      <c r="AG149" s="27">
        <f>Table13[[#This Row],[New Gross Salary]]+Table13[[#This Row],[Final STI]]-Table13[[#This Row],[Total Deductions
(Tax+Pension+HP)]]</f>
        <v>74108.062199999986</v>
      </c>
    </row>
    <row r="150" spans="1:33" x14ac:dyDescent="0.2">
      <c r="A150" s="20">
        <v>1149</v>
      </c>
      <c r="B150" s="21" t="s">
        <v>161</v>
      </c>
      <c r="C150" s="21" t="s">
        <v>17</v>
      </c>
      <c r="D150" s="21" t="s">
        <v>559</v>
      </c>
      <c r="E150" s="22">
        <v>43831</v>
      </c>
      <c r="F150" s="21" t="s">
        <v>424</v>
      </c>
      <c r="G150" s="21" t="s">
        <v>522</v>
      </c>
      <c r="H150" s="21" t="s">
        <v>520</v>
      </c>
      <c r="I150" s="5" t="s">
        <v>661</v>
      </c>
      <c r="J150" s="21" t="s">
        <v>532</v>
      </c>
      <c r="K150" s="21" t="s">
        <v>539</v>
      </c>
      <c r="L150" s="23">
        <v>71263</v>
      </c>
      <c r="M150" s="23" t="s">
        <v>673</v>
      </c>
      <c r="N150" s="23">
        <v>55000</v>
      </c>
      <c r="O150" s="23">
        <v>75000</v>
      </c>
      <c r="P150" s="23">
        <v>85000</v>
      </c>
      <c r="Q150" s="24">
        <f>Table13[[#This Row],[Monthly Gross Salary]]/Table13[[#This Row],[Mid]]</f>
        <v>0.95017333333333331</v>
      </c>
      <c r="R150" s="23" t="str">
        <f t="shared" si="4"/>
        <v>Around Mid</v>
      </c>
      <c r="S150" s="23">
        <v>4</v>
      </c>
      <c r="T150" s="25">
        <f>INDEX('Merit Matrix'!$B$4:$F$8,
       MATCH($S150,'Merit Matrix'!$A$4:$A$8,0),
       MATCH(TRIM($R150),'Merit Matrix'!$B$3:$F$3,0))</f>
        <v>0.04</v>
      </c>
      <c r="U150" s="24">
        <f>Table13[[#This Row],[Salary increase %]]*Table13[[#This Row],[Monthly Gross Salary]]</f>
        <v>2850.52</v>
      </c>
      <c r="V150" s="23">
        <f>Table13[[#This Row],[Salary increase Amount]]+Table13[[#This Row],[Monthly Gross Salary]]</f>
        <v>74113.52</v>
      </c>
      <c r="W150" s="75">
        <v>0.2</v>
      </c>
      <c r="X150" s="6">
        <f>Table13[[#This Row],[New Gross Salary]]*Table13[[#This Row],[STI %]]</f>
        <v>14822.704000000002</v>
      </c>
      <c r="Y150" s="96">
        <v>1.2</v>
      </c>
      <c r="Z150" s="6">
        <f>Table13[[#This Row],[Target STI]]*Table13[[#This Row],[Multiplier]]</f>
        <v>17787.2448</v>
      </c>
      <c r="AA150" s="26">
        <v>0.32</v>
      </c>
      <c r="AB150" s="21" t="s">
        <v>18</v>
      </c>
      <c r="AC150" s="24">
        <f>(Table13[[#This Row],[New Gross Salary]]+Table13[[#This Row],[Final STI]])*Table13[[#This Row],[Tax %]]</f>
        <v>29408.244736000001</v>
      </c>
      <c r="AD150" s="24">
        <f>Table13[[#This Row],[New Gross Salary]]*5%</f>
        <v>3705.6760000000004</v>
      </c>
      <c r="AE150" s="21" cm="1">
        <f t="array" ref="AE150">_xlfn.XLOOKUP(AB150,{"A","B","C"},{500,800,1200})</f>
        <v>500</v>
      </c>
      <c r="AF150" s="24">
        <f t="shared" si="5"/>
        <v>33613.920736</v>
      </c>
      <c r="AG150" s="27">
        <f>Table13[[#This Row],[New Gross Salary]]+Table13[[#This Row],[Final STI]]-Table13[[#This Row],[Total Deductions
(Tax+Pension+HP)]]</f>
        <v>58286.844064000004</v>
      </c>
    </row>
    <row r="151" spans="1:33" x14ac:dyDescent="0.2">
      <c r="A151" s="20">
        <v>1150</v>
      </c>
      <c r="B151" s="21" t="s">
        <v>162</v>
      </c>
      <c r="C151" s="21" t="s">
        <v>14</v>
      </c>
      <c r="D151" s="21" t="s">
        <v>553</v>
      </c>
      <c r="E151" s="22">
        <v>43831</v>
      </c>
      <c r="F151" s="21" t="s">
        <v>425</v>
      </c>
      <c r="G151" s="21" t="s">
        <v>522</v>
      </c>
      <c r="H151" s="21" t="s">
        <v>520</v>
      </c>
      <c r="I151" s="5" t="s">
        <v>661</v>
      </c>
      <c r="J151" s="21" t="s">
        <v>532</v>
      </c>
      <c r="K151" s="21" t="s">
        <v>540</v>
      </c>
      <c r="L151" s="23">
        <v>89860</v>
      </c>
      <c r="M151" s="23" t="s">
        <v>673</v>
      </c>
      <c r="N151" s="23">
        <v>58000</v>
      </c>
      <c r="O151" s="23">
        <v>75000</v>
      </c>
      <c r="P151" s="23">
        <v>87000</v>
      </c>
      <c r="Q151" s="24">
        <f>Table13[[#This Row],[Monthly Gross Salary]]/Table13[[#This Row],[Mid]]</f>
        <v>1.1981333333333333</v>
      </c>
      <c r="R151" s="23" t="str">
        <f t="shared" si="4"/>
        <v>High</v>
      </c>
      <c r="S151" s="23">
        <v>4</v>
      </c>
      <c r="T151" s="25">
        <f>INDEX('Merit Matrix'!$B$4:$F$8,
       MATCH($S151,'Merit Matrix'!$A$4:$A$8,0),
       MATCH(TRIM($R151),'Merit Matrix'!$B$3:$F$3,0))</f>
        <v>1.4999999999999999E-2</v>
      </c>
      <c r="U151" s="24">
        <f>Table13[[#This Row],[Salary increase %]]*Table13[[#This Row],[Monthly Gross Salary]]</f>
        <v>1347.8999999999999</v>
      </c>
      <c r="V151" s="23">
        <f>Table13[[#This Row],[Salary increase Amount]]+Table13[[#This Row],[Monthly Gross Salary]]</f>
        <v>91207.9</v>
      </c>
      <c r="W151" s="75">
        <v>0.2</v>
      </c>
      <c r="X151" s="6">
        <f>Table13[[#This Row],[New Gross Salary]]*Table13[[#This Row],[STI %]]</f>
        <v>18241.579999999998</v>
      </c>
      <c r="Y151" s="96">
        <v>1.2</v>
      </c>
      <c r="Z151" s="6">
        <f>Table13[[#This Row],[Target STI]]*Table13[[#This Row],[Multiplier]]</f>
        <v>21889.895999999997</v>
      </c>
      <c r="AA151" s="26">
        <v>0.32</v>
      </c>
      <c r="AB151" s="21" t="s">
        <v>9</v>
      </c>
      <c r="AC151" s="24">
        <f>(Table13[[#This Row],[New Gross Salary]]+Table13[[#This Row],[Final STI]])*Table13[[#This Row],[Tax %]]</f>
        <v>36191.294719999998</v>
      </c>
      <c r="AD151" s="24">
        <f>Table13[[#This Row],[New Gross Salary]]*5%</f>
        <v>4560.3949999999995</v>
      </c>
      <c r="AE151" s="21" cm="1">
        <f t="array" ref="AE151">_xlfn.XLOOKUP(AB151,{"A","B","C"},{500,800,1200})</f>
        <v>800</v>
      </c>
      <c r="AF151" s="24">
        <f t="shared" si="5"/>
        <v>41551.689719999995</v>
      </c>
      <c r="AG151" s="27">
        <f>Table13[[#This Row],[New Gross Salary]]+Table13[[#This Row],[Final STI]]-Table13[[#This Row],[Total Deductions
(Tax+Pension+HP)]]</f>
        <v>71546.106279999993</v>
      </c>
    </row>
    <row r="152" spans="1:33" x14ac:dyDescent="0.2">
      <c r="A152" s="20">
        <v>1151</v>
      </c>
      <c r="B152" s="21" t="s">
        <v>163</v>
      </c>
      <c r="C152" s="21" t="s">
        <v>14</v>
      </c>
      <c r="D152" s="21" t="s">
        <v>553</v>
      </c>
      <c r="E152" s="22">
        <v>43831</v>
      </c>
      <c r="F152" s="21" t="s">
        <v>426</v>
      </c>
      <c r="G152" s="21" t="s">
        <v>522</v>
      </c>
      <c r="H152" s="21" t="s">
        <v>520</v>
      </c>
      <c r="I152" s="5" t="s">
        <v>661</v>
      </c>
      <c r="J152" s="21" t="s">
        <v>532</v>
      </c>
      <c r="K152" s="21" t="s">
        <v>540</v>
      </c>
      <c r="L152" s="23">
        <v>89860</v>
      </c>
      <c r="M152" s="23" t="s">
        <v>673</v>
      </c>
      <c r="N152" s="23">
        <v>58000</v>
      </c>
      <c r="O152" s="23">
        <v>75000</v>
      </c>
      <c r="P152" s="23">
        <v>87000</v>
      </c>
      <c r="Q152" s="24">
        <f>Table13[[#This Row],[Monthly Gross Salary]]/Table13[[#This Row],[Mid]]</f>
        <v>1.1981333333333333</v>
      </c>
      <c r="R152" s="23" t="str">
        <f t="shared" si="4"/>
        <v>High</v>
      </c>
      <c r="S152" s="23">
        <v>4</v>
      </c>
      <c r="T152" s="25">
        <f>INDEX('Merit Matrix'!$B$4:$F$8,
       MATCH($S152,'Merit Matrix'!$A$4:$A$8,0),
       MATCH(TRIM($R152),'Merit Matrix'!$B$3:$F$3,0))</f>
        <v>1.4999999999999999E-2</v>
      </c>
      <c r="U152" s="24">
        <f>Table13[[#This Row],[Salary increase %]]*Table13[[#This Row],[Monthly Gross Salary]]</f>
        <v>1347.8999999999999</v>
      </c>
      <c r="V152" s="23">
        <f>Table13[[#This Row],[Salary increase Amount]]+Table13[[#This Row],[Monthly Gross Salary]]</f>
        <v>91207.9</v>
      </c>
      <c r="W152" s="75">
        <v>0.2</v>
      </c>
      <c r="X152" s="6">
        <f>Table13[[#This Row],[New Gross Salary]]*Table13[[#This Row],[STI %]]</f>
        <v>18241.579999999998</v>
      </c>
      <c r="Y152" s="96">
        <v>1.2</v>
      </c>
      <c r="Z152" s="6">
        <f>Table13[[#This Row],[Target STI]]*Table13[[#This Row],[Multiplier]]</f>
        <v>21889.895999999997</v>
      </c>
      <c r="AA152" s="26">
        <v>0.32</v>
      </c>
      <c r="AB152" s="21" t="s">
        <v>18</v>
      </c>
      <c r="AC152" s="24">
        <f>(Table13[[#This Row],[New Gross Salary]]+Table13[[#This Row],[Final STI]])*Table13[[#This Row],[Tax %]]</f>
        <v>36191.294719999998</v>
      </c>
      <c r="AD152" s="24">
        <f>Table13[[#This Row],[New Gross Salary]]*5%</f>
        <v>4560.3949999999995</v>
      </c>
      <c r="AE152" s="21" cm="1">
        <f t="array" ref="AE152">_xlfn.XLOOKUP(AB152,{"A","B","C"},{500,800,1200})</f>
        <v>500</v>
      </c>
      <c r="AF152" s="24">
        <f t="shared" si="5"/>
        <v>41251.689719999995</v>
      </c>
      <c r="AG152" s="27">
        <f>Table13[[#This Row],[New Gross Salary]]+Table13[[#This Row],[Final STI]]-Table13[[#This Row],[Total Deductions
(Tax+Pension+HP)]]</f>
        <v>71846.106279999993</v>
      </c>
    </row>
    <row r="153" spans="1:33" x14ac:dyDescent="0.2">
      <c r="A153" s="20">
        <v>1152</v>
      </c>
      <c r="B153" s="21" t="s">
        <v>164</v>
      </c>
      <c r="C153" s="21" t="s">
        <v>14</v>
      </c>
      <c r="D153" s="21" t="s">
        <v>553</v>
      </c>
      <c r="E153" s="22">
        <v>43831</v>
      </c>
      <c r="F153" s="21" t="s">
        <v>427</v>
      </c>
      <c r="G153" s="21" t="s">
        <v>522</v>
      </c>
      <c r="H153" s="21" t="s">
        <v>520</v>
      </c>
      <c r="I153" s="5" t="s">
        <v>661</v>
      </c>
      <c r="J153" s="21" t="s">
        <v>532</v>
      </c>
      <c r="K153" s="21" t="s">
        <v>540</v>
      </c>
      <c r="L153" s="23">
        <v>86756</v>
      </c>
      <c r="M153" s="23" t="s">
        <v>673</v>
      </c>
      <c r="N153" s="23">
        <v>58000</v>
      </c>
      <c r="O153" s="23">
        <v>75000</v>
      </c>
      <c r="P153" s="23">
        <v>87000</v>
      </c>
      <c r="Q153" s="24">
        <f>Table13[[#This Row],[Monthly Gross Salary]]/Table13[[#This Row],[Mid]]</f>
        <v>1.1567466666666666</v>
      </c>
      <c r="R153" s="23" t="str">
        <f t="shared" si="4"/>
        <v>High</v>
      </c>
      <c r="S153" s="23">
        <v>4</v>
      </c>
      <c r="T153" s="25">
        <f>INDEX('Merit Matrix'!$B$4:$F$8,
       MATCH($S153,'Merit Matrix'!$A$4:$A$8,0),
       MATCH(TRIM($R153),'Merit Matrix'!$B$3:$F$3,0))</f>
        <v>1.4999999999999999E-2</v>
      </c>
      <c r="U153" s="24">
        <f>Table13[[#This Row],[Salary increase %]]*Table13[[#This Row],[Monthly Gross Salary]]</f>
        <v>1301.3399999999999</v>
      </c>
      <c r="V153" s="23">
        <f>Table13[[#This Row],[Salary increase Amount]]+Table13[[#This Row],[Monthly Gross Salary]]</f>
        <v>88057.34</v>
      </c>
      <c r="W153" s="75">
        <v>0.2</v>
      </c>
      <c r="X153" s="6">
        <f>Table13[[#This Row],[New Gross Salary]]*Table13[[#This Row],[STI %]]</f>
        <v>17611.468000000001</v>
      </c>
      <c r="Y153" s="96">
        <v>1.2</v>
      </c>
      <c r="Z153" s="6">
        <f>Table13[[#This Row],[Target STI]]*Table13[[#This Row],[Multiplier]]</f>
        <v>21133.761600000002</v>
      </c>
      <c r="AA153" s="26">
        <v>0.31</v>
      </c>
      <c r="AB153" s="21" t="s">
        <v>6</v>
      </c>
      <c r="AC153" s="24">
        <f>(Table13[[#This Row],[New Gross Salary]]+Table13[[#This Row],[Final STI]])*Table13[[#This Row],[Tax %]]</f>
        <v>33849.241495999995</v>
      </c>
      <c r="AD153" s="24">
        <f>Table13[[#This Row],[New Gross Salary]]*5%</f>
        <v>4402.8670000000002</v>
      </c>
      <c r="AE153" s="21" cm="1">
        <f t="array" ref="AE153">_xlfn.XLOOKUP(AB153,{"A","B","C"},{500,800,1200})</f>
        <v>1200</v>
      </c>
      <c r="AF153" s="24">
        <f t="shared" si="5"/>
        <v>39452.108495999993</v>
      </c>
      <c r="AG153" s="27">
        <f>Table13[[#This Row],[New Gross Salary]]+Table13[[#This Row],[Final STI]]-Table13[[#This Row],[Total Deductions
(Tax+Pension+HP)]]</f>
        <v>69738.993103999994</v>
      </c>
    </row>
    <row r="154" spans="1:33" x14ac:dyDescent="0.2">
      <c r="A154" s="20">
        <v>1153</v>
      </c>
      <c r="B154" s="21" t="s">
        <v>165</v>
      </c>
      <c r="C154" s="21" t="s">
        <v>11</v>
      </c>
      <c r="D154" s="21" t="s">
        <v>529</v>
      </c>
      <c r="E154" s="22">
        <v>43831</v>
      </c>
      <c r="F154" s="21" t="s">
        <v>428</v>
      </c>
      <c r="G154" s="21" t="s">
        <v>522</v>
      </c>
      <c r="H154" s="21" t="s">
        <v>520</v>
      </c>
      <c r="I154" s="5" t="s">
        <v>661</v>
      </c>
      <c r="J154" s="21" t="s">
        <v>532</v>
      </c>
      <c r="K154" s="21" t="s">
        <v>540</v>
      </c>
      <c r="L154" s="23">
        <v>86756</v>
      </c>
      <c r="M154" s="23" t="s">
        <v>673</v>
      </c>
      <c r="N154" s="23">
        <v>58000</v>
      </c>
      <c r="O154" s="23">
        <v>75000</v>
      </c>
      <c r="P154" s="23">
        <v>87000</v>
      </c>
      <c r="Q154" s="24">
        <f>Table13[[#This Row],[Monthly Gross Salary]]/Table13[[#This Row],[Mid]]</f>
        <v>1.1567466666666666</v>
      </c>
      <c r="R154" s="23" t="str">
        <f t="shared" si="4"/>
        <v>High</v>
      </c>
      <c r="S154" s="23">
        <v>4</v>
      </c>
      <c r="T154" s="25">
        <f>INDEX('Merit Matrix'!$B$4:$F$8,
       MATCH($S154,'Merit Matrix'!$A$4:$A$8,0),
       MATCH(TRIM($R154),'Merit Matrix'!$B$3:$F$3,0))</f>
        <v>1.4999999999999999E-2</v>
      </c>
      <c r="U154" s="24">
        <f>Table13[[#This Row],[Salary increase %]]*Table13[[#This Row],[Monthly Gross Salary]]</f>
        <v>1301.3399999999999</v>
      </c>
      <c r="V154" s="23">
        <f>Table13[[#This Row],[Salary increase Amount]]+Table13[[#This Row],[Monthly Gross Salary]]</f>
        <v>88057.34</v>
      </c>
      <c r="W154" s="75">
        <v>0.2</v>
      </c>
      <c r="X154" s="6">
        <f>Table13[[#This Row],[New Gross Salary]]*Table13[[#This Row],[STI %]]</f>
        <v>17611.468000000001</v>
      </c>
      <c r="Y154" s="96">
        <v>1.2</v>
      </c>
      <c r="Z154" s="6">
        <f>Table13[[#This Row],[Target STI]]*Table13[[#This Row],[Multiplier]]</f>
        <v>21133.761600000002</v>
      </c>
      <c r="AA154" s="26">
        <v>0.32</v>
      </c>
      <c r="AB154" s="21" t="s">
        <v>18</v>
      </c>
      <c r="AC154" s="24">
        <f>(Table13[[#This Row],[New Gross Salary]]+Table13[[#This Row],[Final STI]])*Table13[[#This Row],[Tax %]]</f>
        <v>34941.152512000001</v>
      </c>
      <c r="AD154" s="24">
        <f>Table13[[#This Row],[New Gross Salary]]*5%</f>
        <v>4402.8670000000002</v>
      </c>
      <c r="AE154" s="21" cm="1">
        <f t="array" ref="AE154">_xlfn.XLOOKUP(AB154,{"A","B","C"},{500,800,1200})</f>
        <v>500</v>
      </c>
      <c r="AF154" s="24">
        <f t="shared" si="5"/>
        <v>39844.019511999999</v>
      </c>
      <c r="AG154" s="27">
        <f>Table13[[#This Row],[New Gross Salary]]+Table13[[#This Row],[Final STI]]-Table13[[#This Row],[Total Deductions
(Tax+Pension+HP)]]</f>
        <v>69347.082087999996</v>
      </c>
    </row>
    <row r="155" spans="1:33" x14ac:dyDescent="0.2">
      <c r="A155" s="20">
        <v>1154</v>
      </c>
      <c r="B155" s="21" t="s">
        <v>166</v>
      </c>
      <c r="C155" s="21" t="s">
        <v>42</v>
      </c>
      <c r="D155" s="21" t="s">
        <v>555</v>
      </c>
      <c r="E155" s="22">
        <v>44562</v>
      </c>
      <c r="F155" s="21" t="s">
        <v>429</v>
      </c>
      <c r="G155" s="21" t="s">
        <v>522</v>
      </c>
      <c r="H155" s="21" t="s">
        <v>520</v>
      </c>
      <c r="I155" s="5" t="s">
        <v>661</v>
      </c>
      <c r="J155" s="21" t="s">
        <v>533</v>
      </c>
      <c r="K155" s="21" t="s">
        <v>536</v>
      </c>
      <c r="L155" s="23">
        <v>30348</v>
      </c>
      <c r="M155" s="23" t="s">
        <v>673</v>
      </c>
      <c r="N155" s="23">
        <v>30000</v>
      </c>
      <c r="O155" s="23">
        <v>35000</v>
      </c>
      <c r="P155" s="23">
        <v>40000</v>
      </c>
      <c r="Q155" s="24">
        <f>Table13[[#This Row],[Monthly Gross Salary]]/Table13[[#This Row],[Mid]]</f>
        <v>0.86708571428571424</v>
      </c>
      <c r="R155" s="23" t="str">
        <f t="shared" si="4"/>
        <v>Below Mid</v>
      </c>
      <c r="S155" s="23">
        <v>4</v>
      </c>
      <c r="T155" s="25">
        <f>INDEX('Merit Matrix'!$B$4:$F$8,
       MATCH($S155,'Merit Matrix'!$A$4:$A$8,0),
       MATCH(TRIM($R155),'Merit Matrix'!$B$3:$F$3,0))</f>
        <v>0.05</v>
      </c>
      <c r="U155" s="24">
        <f>Table13[[#This Row],[Salary increase %]]*Table13[[#This Row],[Monthly Gross Salary]]</f>
        <v>1517.4</v>
      </c>
      <c r="V155" s="23">
        <f>Table13[[#This Row],[Salary increase Amount]]+Table13[[#This Row],[Monthly Gross Salary]]</f>
        <v>31865.4</v>
      </c>
      <c r="W155" s="75">
        <v>0.1</v>
      </c>
      <c r="X155" s="6">
        <f>Table13[[#This Row],[New Gross Salary]]*Table13[[#This Row],[STI %]]</f>
        <v>3186.5400000000004</v>
      </c>
      <c r="Y155" s="96">
        <v>1.2</v>
      </c>
      <c r="Z155" s="6">
        <f>Table13[[#This Row],[Target STI]]*Table13[[#This Row],[Multiplier]]</f>
        <v>3823.8480000000004</v>
      </c>
      <c r="AA155" s="26">
        <v>0.28000000000000003</v>
      </c>
      <c r="AB155" s="21" t="s">
        <v>18</v>
      </c>
      <c r="AC155" s="24">
        <f>(Table13[[#This Row],[New Gross Salary]]+Table13[[#This Row],[Final STI]])*Table13[[#This Row],[Tax %]]</f>
        <v>9992.9894400000012</v>
      </c>
      <c r="AD155" s="24">
        <f>Table13[[#This Row],[New Gross Salary]]*5%</f>
        <v>1593.2700000000002</v>
      </c>
      <c r="AE155" s="21" cm="1">
        <f t="array" ref="AE155">_xlfn.XLOOKUP(AB155,{"A","B","C"},{500,800,1200})</f>
        <v>500</v>
      </c>
      <c r="AF155" s="24">
        <f t="shared" si="5"/>
        <v>12086.259440000002</v>
      </c>
      <c r="AG155" s="27">
        <f>Table13[[#This Row],[New Gross Salary]]+Table13[[#This Row],[Final STI]]-Table13[[#This Row],[Total Deductions
(Tax+Pension+HP)]]</f>
        <v>23602.988559999998</v>
      </c>
    </row>
    <row r="156" spans="1:33" x14ac:dyDescent="0.2">
      <c r="A156" s="20">
        <v>1155</v>
      </c>
      <c r="B156" s="21" t="s">
        <v>167</v>
      </c>
      <c r="C156" s="21" t="s">
        <v>11</v>
      </c>
      <c r="D156" s="21" t="s">
        <v>529</v>
      </c>
      <c r="E156" s="22">
        <v>43831</v>
      </c>
      <c r="F156" s="21" t="s">
        <v>430</v>
      </c>
      <c r="G156" s="21" t="s">
        <v>522</v>
      </c>
      <c r="H156" s="21" t="s">
        <v>520</v>
      </c>
      <c r="I156" s="5" t="s">
        <v>661</v>
      </c>
      <c r="J156" s="21" t="s">
        <v>532</v>
      </c>
      <c r="K156" s="21" t="s">
        <v>540</v>
      </c>
      <c r="L156" s="23">
        <v>86756</v>
      </c>
      <c r="M156" s="23" t="s">
        <v>673</v>
      </c>
      <c r="N156" s="23">
        <v>58000</v>
      </c>
      <c r="O156" s="23">
        <v>75000</v>
      </c>
      <c r="P156" s="23">
        <v>87000</v>
      </c>
      <c r="Q156" s="24">
        <f>Table13[[#This Row],[Monthly Gross Salary]]/Table13[[#This Row],[Mid]]</f>
        <v>1.1567466666666666</v>
      </c>
      <c r="R156" s="23" t="str">
        <f t="shared" si="4"/>
        <v>High</v>
      </c>
      <c r="S156" s="23">
        <v>4</v>
      </c>
      <c r="T156" s="25">
        <f>INDEX('Merit Matrix'!$B$4:$F$8,
       MATCH($S156,'Merit Matrix'!$A$4:$A$8,0),
       MATCH(TRIM($R156),'Merit Matrix'!$B$3:$F$3,0))</f>
        <v>1.4999999999999999E-2</v>
      </c>
      <c r="U156" s="24">
        <f>Table13[[#This Row],[Salary increase %]]*Table13[[#This Row],[Monthly Gross Salary]]</f>
        <v>1301.3399999999999</v>
      </c>
      <c r="V156" s="23">
        <f>Table13[[#This Row],[Salary increase Amount]]+Table13[[#This Row],[Monthly Gross Salary]]</f>
        <v>88057.34</v>
      </c>
      <c r="W156" s="75">
        <v>0.2</v>
      </c>
      <c r="X156" s="6">
        <f>Table13[[#This Row],[New Gross Salary]]*Table13[[#This Row],[STI %]]</f>
        <v>17611.468000000001</v>
      </c>
      <c r="Y156" s="96">
        <v>1.2</v>
      </c>
      <c r="Z156" s="6">
        <f>Table13[[#This Row],[Target STI]]*Table13[[#This Row],[Multiplier]]</f>
        <v>21133.761600000002</v>
      </c>
      <c r="AA156" s="26">
        <v>0.32</v>
      </c>
      <c r="AB156" s="21" t="s">
        <v>18</v>
      </c>
      <c r="AC156" s="24">
        <f>(Table13[[#This Row],[New Gross Salary]]+Table13[[#This Row],[Final STI]])*Table13[[#This Row],[Tax %]]</f>
        <v>34941.152512000001</v>
      </c>
      <c r="AD156" s="24">
        <f>Table13[[#This Row],[New Gross Salary]]*5%</f>
        <v>4402.8670000000002</v>
      </c>
      <c r="AE156" s="21" cm="1">
        <f t="array" ref="AE156">_xlfn.XLOOKUP(AB156,{"A","B","C"},{500,800,1200})</f>
        <v>500</v>
      </c>
      <c r="AF156" s="24">
        <f t="shared" si="5"/>
        <v>39844.019511999999</v>
      </c>
      <c r="AG156" s="27">
        <f>Table13[[#This Row],[New Gross Salary]]+Table13[[#This Row],[Final STI]]-Table13[[#This Row],[Total Deductions
(Tax+Pension+HP)]]</f>
        <v>69347.082087999996</v>
      </c>
    </row>
    <row r="157" spans="1:33" x14ac:dyDescent="0.2">
      <c r="A157" s="20">
        <v>1156</v>
      </c>
      <c r="B157" s="21" t="s">
        <v>168</v>
      </c>
      <c r="C157" s="21" t="s">
        <v>5</v>
      </c>
      <c r="D157" s="21" t="s">
        <v>550</v>
      </c>
      <c r="E157" s="22">
        <v>43831</v>
      </c>
      <c r="F157" s="21" t="s">
        <v>431</v>
      </c>
      <c r="G157" s="21" t="s">
        <v>522</v>
      </c>
      <c r="H157" s="21" t="s">
        <v>520</v>
      </c>
      <c r="I157" s="5" t="s">
        <v>661</v>
      </c>
      <c r="J157" s="21" t="s">
        <v>532</v>
      </c>
      <c r="K157" s="21" t="s">
        <v>540</v>
      </c>
      <c r="L157" s="23">
        <v>86756</v>
      </c>
      <c r="M157" s="23" t="s">
        <v>673</v>
      </c>
      <c r="N157" s="23">
        <v>58000</v>
      </c>
      <c r="O157" s="23">
        <v>75000</v>
      </c>
      <c r="P157" s="23">
        <v>87000</v>
      </c>
      <c r="Q157" s="24">
        <f>Table13[[#This Row],[Monthly Gross Salary]]/Table13[[#This Row],[Mid]]</f>
        <v>1.1567466666666666</v>
      </c>
      <c r="R157" s="23" t="str">
        <f t="shared" si="4"/>
        <v>High</v>
      </c>
      <c r="S157" s="23">
        <v>4</v>
      </c>
      <c r="T157" s="25">
        <f>INDEX('Merit Matrix'!$B$4:$F$8,
       MATCH($S157,'Merit Matrix'!$A$4:$A$8,0),
       MATCH(TRIM($R157),'Merit Matrix'!$B$3:$F$3,0))</f>
        <v>1.4999999999999999E-2</v>
      </c>
      <c r="U157" s="24">
        <f>Table13[[#This Row],[Salary increase %]]*Table13[[#This Row],[Monthly Gross Salary]]</f>
        <v>1301.3399999999999</v>
      </c>
      <c r="V157" s="23">
        <f>Table13[[#This Row],[Salary increase Amount]]+Table13[[#This Row],[Monthly Gross Salary]]</f>
        <v>88057.34</v>
      </c>
      <c r="W157" s="75">
        <v>0.2</v>
      </c>
      <c r="X157" s="6">
        <f>Table13[[#This Row],[New Gross Salary]]*Table13[[#This Row],[STI %]]</f>
        <v>17611.468000000001</v>
      </c>
      <c r="Y157" s="96">
        <v>1.2</v>
      </c>
      <c r="Z157" s="6">
        <f>Table13[[#This Row],[Target STI]]*Table13[[#This Row],[Multiplier]]</f>
        <v>21133.761600000002</v>
      </c>
      <c r="AA157" s="26">
        <v>0.31</v>
      </c>
      <c r="AB157" s="21" t="s">
        <v>9</v>
      </c>
      <c r="AC157" s="24">
        <f>(Table13[[#This Row],[New Gross Salary]]+Table13[[#This Row],[Final STI]])*Table13[[#This Row],[Tax %]]</f>
        <v>33849.241495999995</v>
      </c>
      <c r="AD157" s="24">
        <f>Table13[[#This Row],[New Gross Salary]]*5%</f>
        <v>4402.8670000000002</v>
      </c>
      <c r="AE157" s="21" cm="1">
        <f t="array" ref="AE157">_xlfn.XLOOKUP(AB157,{"A","B","C"},{500,800,1200})</f>
        <v>800</v>
      </c>
      <c r="AF157" s="24">
        <f t="shared" si="5"/>
        <v>39052.108495999993</v>
      </c>
      <c r="AG157" s="27">
        <f>Table13[[#This Row],[New Gross Salary]]+Table13[[#This Row],[Final STI]]-Table13[[#This Row],[Total Deductions
(Tax+Pension+HP)]]</f>
        <v>70138.993103999994</v>
      </c>
    </row>
    <row r="158" spans="1:33" x14ac:dyDescent="0.2">
      <c r="A158" s="20">
        <v>1157</v>
      </c>
      <c r="B158" s="21" t="s">
        <v>169</v>
      </c>
      <c r="C158" s="21" t="s">
        <v>14</v>
      </c>
      <c r="D158" s="21" t="s">
        <v>553</v>
      </c>
      <c r="E158" s="22">
        <v>43831</v>
      </c>
      <c r="F158" s="21" t="s">
        <v>432</v>
      </c>
      <c r="G158" s="21" t="s">
        <v>522</v>
      </c>
      <c r="H158" s="21" t="s">
        <v>520</v>
      </c>
      <c r="I158" s="5" t="s">
        <v>661</v>
      </c>
      <c r="J158" s="21" t="s">
        <v>532</v>
      </c>
      <c r="K158" s="21" t="s">
        <v>540</v>
      </c>
      <c r="L158" s="23">
        <v>86756</v>
      </c>
      <c r="M158" s="23" t="s">
        <v>673</v>
      </c>
      <c r="N158" s="23">
        <v>58000</v>
      </c>
      <c r="O158" s="23">
        <v>75000</v>
      </c>
      <c r="P158" s="23">
        <v>87000</v>
      </c>
      <c r="Q158" s="24">
        <f>Table13[[#This Row],[Monthly Gross Salary]]/Table13[[#This Row],[Mid]]</f>
        <v>1.1567466666666666</v>
      </c>
      <c r="R158" s="23" t="str">
        <f t="shared" si="4"/>
        <v>High</v>
      </c>
      <c r="S158" s="23">
        <v>4</v>
      </c>
      <c r="T158" s="25">
        <f>INDEX('Merit Matrix'!$B$4:$F$8,
       MATCH($S158,'Merit Matrix'!$A$4:$A$8,0),
       MATCH(TRIM($R158),'Merit Matrix'!$B$3:$F$3,0))</f>
        <v>1.4999999999999999E-2</v>
      </c>
      <c r="U158" s="24">
        <f>Table13[[#This Row],[Salary increase %]]*Table13[[#This Row],[Monthly Gross Salary]]</f>
        <v>1301.3399999999999</v>
      </c>
      <c r="V158" s="23">
        <f>Table13[[#This Row],[Salary increase Amount]]+Table13[[#This Row],[Monthly Gross Salary]]</f>
        <v>88057.34</v>
      </c>
      <c r="W158" s="75">
        <v>0.2</v>
      </c>
      <c r="X158" s="6">
        <f>Table13[[#This Row],[New Gross Salary]]*Table13[[#This Row],[STI %]]</f>
        <v>17611.468000000001</v>
      </c>
      <c r="Y158" s="96">
        <v>1.2</v>
      </c>
      <c r="Z158" s="6">
        <f>Table13[[#This Row],[Target STI]]*Table13[[#This Row],[Multiplier]]</f>
        <v>21133.761600000002</v>
      </c>
      <c r="AA158" s="26">
        <v>0.32</v>
      </c>
      <c r="AB158" s="21" t="s">
        <v>18</v>
      </c>
      <c r="AC158" s="24">
        <f>(Table13[[#This Row],[New Gross Salary]]+Table13[[#This Row],[Final STI]])*Table13[[#This Row],[Tax %]]</f>
        <v>34941.152512000001</v>
      </c>
      <c r="AD158" s="24">
        <f>Table13[[#This Row],[New Gross Salary]]*5%</f>
        <v>4402.8670000000002</v>
      </c>
      <c r="AE158" s="21" cm="1">
        <f t="array" ref="AE158">_xlfn.XLOOKUP(AB158,{"A","B","C"},{500,800,1200})</f>
        <v>500</v>
      </c>
      <c r="AF158" s="24">
        <f t="shared" si="5"/>
        <v>39844.019511999999</v>
      </c>
      <c r="AG158" s="27">
        <f>Table13[[#This Row],[New Gross Salary]]+Table13[[#This Row],[Final STI]]-Table13[[#This Row],[Total Deductions
(Tax+Pension+HP)]]</f>
        <v>69347.082087999996</v>
      </c>
    </row>
    <row r="159" spans="1:33" x14ac:dyDescent="0.2">
      <c r="A159" s="20">
        <v>1158</v>
      </c>
      <c r="B159" s="21" t="s">
        <v>170</v>
      </c>
      <c r="C159" s="21" t="s">
        <v>42</v>
      </c>
      <c r="D159" s="21" t="s">
        <v>555</v>
      </c>
      <c r="E159" s="22">
        <v>44562</v>
      </c>
      <c r="F159" s="21" t="s">
        <v>433</v>
      </c>
      <c r="G159" s="21" t="s">
        <v>522</v>
      </c>
      <c r="H159" s="21" t="s">
        <v>520</v>
      </c>
      <c r="I159" s="5" t="s">
        <v>661</v>
      </c>
      <c r="J159" s="21" t="s">
        <v>533</v>
      </c>
      <c r="K159" s="21" t="s">
        <v>536</v>
      </c>
      <c r="L159" s="23">
        <v>30348</v>
      </c>
      <c r="M159" s="23" t="s">
        <v>673</v>
      </c>
      <c r="N159" s="23">
        <v>30000</v>
      </c>
      <c r="O159" s="23">
        <v>35000</v>
      </c>
      <c r="P159" s="23">
        <v>40000</v>
      </c>
      <c r="Q159" s="24">
        <f>Table13[[#This Row],[Monthly Gross Salary]]/Table13[[#This Row],[Mid]]</f>
        <v>0.86708571428571424</v>
      </c>
      <c r="R159" s="23" t="str">
        <f t="shared" si="4"/>
        <v>Below Mid</v>
      </c>
      <c r="S159" s="23">
        <v>4</v>
      </c>
      <c r="T159" s="25">
        <f>INDEX('Merit Matrix'!$B$4:$F$8,
       MATCH($S159,'Merit Matrix'!$A$4:$A$8,0),
       MATCH(TRIM($R159),'Merit Matrix'!$B$3:$F$3,0))</f>
        <v>0.05</v>
      </c>
      <c r="U159" s="24">
        <f>Table13[[#This Row],[Salary increase %]]*Table13[[#This Row],[Monthly Gross Salary]]</f>
        <v>1517.4</v>
      </c>
      <c r="V159" s="23">
        <f>Table13[[#This Row],[Salary increase Amount]]+Table13[[#This Row],[Monthly Gross Salary]]</f>
        <v>31865.4</v>
      </c>
      <c r="W159" s="75">
        <v>0.1</v>
      </c>
      <c r="X159" s="6">
        <f>Table13[[#This Row],[New Gross Salary]]*Table13[[#This Row],[STI %]]</f>
        <v>3186.5400000000004</v>
      </c>
      <c r="Y159" s="96">
        <v>1.2</v>
      </c>
      <c r="Z159" s="6">
        <f>Table13[[#This Row],[Target STI]]*Table13[[#This Row],[Multiplier]]</f>
        <v>3823.8480000000004</v>
      </c>
      <c r="AA159" s="26">
        <v>0.31</v>
      </c>
      <c r="AB159" s="21" t="s">
        <v>6</v>
      </c>
      <c r="AC159" s="24">
        <f>(Table13[[#This Row],[New Gross Salary]]+Table13[[#This Row],[Final STI]])*Table13[[#This Row],[Tax %]]</f>
        <v>11063.666880000001</v>
      </c>
      <c r="AD159" s="24">
        <f>Table13[[#This Row],[New Gross Salary]]*5%</f>
        <v>1593.2700000000002</v>
      </c>
      <c r="AE159" s="21" cm="1">
        <f t="array" ref="AE159">_xlfn.XLOOKUP(AB159,{"A","B","C"},{500,800,1200})</f>
        <v>1200</v>
      </c>
      <c r="AF159" s="24">
        <f t="shared" si="5"/>
        <v>13856.936880000001</v>
      </c>
      <c r="AG159" s="27">
        <f>Table13[[#This Row],[New Gross Salary]]+Table13[[#This Row],[Final STI]]-Table13[[#This Row],[Total Deductions
(Tax+Pension+HP)]]</f>
        <v>21832.311119999998</v>
      </c>
    </row>
    <row r="160" spans="1:33" x14ac:dyDescent="0.2">
      <c r="A160" s="20">
        <v>1159</v>
      </c>
      <c r="B160" s="21" t="s">
        <v>171</v>
      </c>
      <c r="C160" s="21" t="s">
        <v>11</v>
      </c>
      <c r="D160" s="21" t="s">
        <v>531</v>
      </c>
      <c r="E160" s="22">
        <v>44562</v>
      </c>
      <c r="F160" s="21" t="s">
        <v>434</v>
      </c>
      <c r="G160" s="21" t="s">
        <v>522</v>
      </c>
      <c r="H160" s="21" t="s">
        <v>520</v>
      </c>
      <c r="I160" s="5" t="s">
        <v>661</v>
      </c>
      <c r="J160" s="21" t="s">
        <v>533</v>
      </c>
      <c r="K160" s="21" t="s">
        <v>537</v>
      </c>
      <c r="L160" s="23">
        <v>43261</v>
      </c>
      <c r="M160" s="23" t="s">
        <v>673</v>
      </c>
      <c r="N160" s="23">
        <v>35000</v>
      </c>
      <c r="O160" s="23">
        <v>40000</v>
      </c>
      <c r="P160" s="23">
        <v>45000</v>
      </c>
      <c r="Q160" s="24">
        <f>Table13[[#This Row],[Monthly Gross Salary]]/Table13[[#This Row],[Mid]]</f>
        <v>1.0815250000000001</v>
      </c>
      <c r="R160" s="23" t="str">
        <f t="shared" si="4"/>
        <v>Above Mid</v>
      </c>
      <c r="S160" s="23">
        <v>4</v>
      </c>
      <c r="T160" s="25">
        <f>INDEX('Merit Matrix'!$B$4:$F$8,
       MATCH($S160,'Merit Matrix'!$A$4:$A$8,0),
       MATCH(TRIM($R160),'Merit Matrix'!$B$3:$F$3,0))</f>
        <v>0.03</v>
      </c>
      <c r="U160" s="24">
        <f>Table13[[#This Row],[Salary increase %]]*Table13[[#This Row],[Monthly Gross Salary]]</f>
        <v>1297.83</v>
      </c>
      <c r="V160" s="23">
        <f>Table13[[#This Row],[Salary increase Amount]]+Table13[[#This Row],[Monthly Gross Salary]]</f>
        <v>44558.83</v>
      </c>
      <c r="W160" s="75">
        <v>0.1</v>
      </c>
      <c r="X160" s="6">
        <f>Table13[[#This Row],[New Gross Salary]]*Table13[[#This Row],[STI %]]</f>
        <v>4455.8830000000007</v>
      </c>
      <c r="Y160" s="96">
        <v>1.2</v>
      </c>
      <c r="Z160" s="6">
        <f>Table13[[#This Row],[Target STI]]*Table13[[#This Row],[Multiplier]]</f>
        <v>5347.0596000000005</v>
      </c>
      <c r="AA160" s="26">
        <v>0.28999999999999998</v>
      </c>
      <c r="AB160" s="21" t="s">
        <v>6</v>
      </c>
      <c r="AC160" s="24">
        <f>(Table13[[#This Row],[New Gross Salary]]+Table13[[#This Row],[Final STI]])*Table13[[#This Row],[Tax %]]</f>
        <v>14472.707983999999</v>
      </c>
      <c r="AD160" s="24">
        <f>Table13[[#This Row],[New Gross Salary]]*5%</f>
        <v>2227.9415000000004</v>
      </c>
      <c r="AE160" s="21" cm="1">
        <f t="array" ref="AE160">_xlfn.XLOOKUP(AB160,{"A","B","C"},{500,800,1200})</f>
        <v>1200</v>
      </c>
      <c r="AF160" s="24">
        <f t="shared" si="5"/>
        <v>17900.649483999998</v>
      </c>
      <c r="AG160" s="27">
        <f>Table13[[#This Row],[New Gross Salary]]+Table13[[#This Row],[Final STI]]-Table13[[#This Row],[Total Deductions
(Tax+Pension+HP)]]</f>
        <v>32005.240116000004</v>
      </c>
    </row>
    <row r="161" spans="1:33" x14ac:dyDescent="0.2">
      <c r="A161" s="20">
        <v>1160</v>
      </c>
      <c r="B161" s="21" t="s">
        <v>172</v>
      </c>
      <c r="C161" s="21" t="s">
        <v>42</v>
      </c>
      <c r="D161" s="21" t="s">
        <v>555</v>
      </c>
      <c r="E161" s="22">
        <v>44562</v>
      </c>
      <c r="F161" s="21" t="s">
        <v>435</v>
      </c>
      <c r="G161" s="21" t="s">
        <v>522</v>
      </c>
      <c r="H161" s="21" t="s">
        <v>520</v>
      </c>
      <c r="I161" s="5" t="s">
        <v>661</v>
      </c>
      <c r="J161" s="21" t="s">
        <v>533</v>
      </c>
      <c r="K161" s="21" t="s">
        <v>536</v>
      </c>
      <c r="L161" s="23">
        <v>30348</v>
      </c>
      <c r="M161" s="23" t="s">
        <v>673</v>
      </c>
      <c r="N161" s="23">
        <v>30000</v>
      </c>
      <c r="O161" s="23">
        <v>35000</v>
      </c>
      <c r="P161" s="23">
        <v>40000</v>
      </c>
      <c r="Q161" s="24">
        <f>Table13[[#This Row],[Monthly Gross Salary]]/Table13[[#This Row],[Mid]]</f>
        <v>0.86708571428571424</v>
      </c>
      <c r="R161" s="23" t="str">
        <f t="shared" si="4"/>
        <v>Below Mid</v>
      </c>
      <c r="S161" s="23">
        <v>4</v>
      </c>
      <c r="T161" s="25">
        <f>INDEX('Merit Matrix'!$B$4:$F$8,
       MATCH($S161,'Merit Matrix'!$A$4:$A$8,0),
       MATCH(TRIM($R161),'Merit Matrix'!$B$3:$F$3,0))</f>
        <v>0.05</v>
      </c>
      <c r="U161" s="24">
        <f>Table13[[#This Row],[Salary increase %]]*Table13[[#This Row],[Monthly Gross Salary]]</f>
        <v>1517.4</v>
      </c>
      <c r="V161" s="23">
        <f>Table13[[#This Row],[Salary increase Amount]]+Table13[[#This Row],[Monthly Gross Salary]]</f>
        <v>31865.4</v>
      </c>
      <c r="W161" s="75">
        <v>0.1</v>
      </c>
      <c r="X161" s="6">
        <f>Table13[[#This Row],[New Gross Salary]]*Table13[[#This Row],[STI %]]</f>
        <v>3186.5400000000004</v>
      </c>
      <c r="Y161" s="96">
        <v>1.2</v>
      </c>
      <c r="Z161" s="6">
        <f>Table13[[#This Row],[Target STI]]*Table13[[#This Row],[Multiplier]]</f>
        <v>3823.8480000000004</v>
      </c>
      <c r="AA161" s="26">
        <v>0.31</v>
      </c>
      <c r="AB161" s="21" t="s">
        <v>9</v>
      </c>
      <c r="AC161" s="24">
        <f>(Table13[[#This Row],[New Gross Salary]]+Table13[[#This Row],[Final STI]])*Table13[[#This Row],[Tax %]]</f>
        <v>11063.666880000001</v>
      </c>
      <c r="AD161" s="24">
        <f>Table13[[#This Row],[New Gross Salary]]*5%</f>
        <v>1593.2700000000002</v>
      </c>
      <c r="AE161" s="21" cm="1">
        <f t="array" ref="AE161">_xlfn.XLOOKUP(AB161,{"A","B","C"},{500,800,1200})</f>
        <v>800</v>
      </c>
      <c r="AF161" s="24">
        <f t="shared" si="5"/>
        <v>13456.936880000001</v>
      </c>
      <c r="AG161" s="27">
        <f>Table13[[#This Row],[New Gross Salary]]+Table13[[#This Row],[Final STI]]-Table13[[#This Row],[Total Deductions
(Tax+Pension+HP)]]</f>
        <v>22232.311119999998</v>
      </c>
    </row>
    <row r="162" spans="1:33" x14ac:dyDescent="0.2">
      <c r="A162" s="20">
        <v>1161</v>
      </c>
      <c r="B162" s="21" t="s">
        <v>173</v>
      </c>
      <c r="C162" s="21" t="s">
        <v>17</v>
      </c>
      <c r="D162" s="21" t="s">
        <v>560</v>
      </c>
      <c r="E162" s="22">
        <v>45292</v>
      </c>
      <c r="F162" s="21" t="s">
        <v>436</v>
      </c>
      <c r="G162" s="21" t="s">
        <v>522</v>
      </c>
      <c r="H162" s="21" t="s">
        <v>520</v>
      </c>
      <c r="I162" s="5" t="s">
        <v>661</v>
      </c>
      <c r="J162" s="21" t="s">
        <v>535</v>
      </c>
      <c r="K162" s="21" t="s">
        <v>538</v>
      </c>
      <c r="L162" s="23">
        <v>47000</v>
      </c>
      <c r="M162" s="23" t="s">
        <v>673</v>
      </c>
      <c r="N162" s="23">
        <v>38000</v>
      </c>
      <c r="O162" s="23">
        <v>50000</v>
      </c>
      <c r="P162" s="23">
        <v>56000</v>
      </c>
      <c r="Q162" s="24">
        <f>Table13[[#This Row],[Monthly Gross Salary]]/Table13[[#This Row],[Mid]]</f>
        <v>0.94</v>
      </c>
      <c r="R162" s="23" t="str">
        <f t="shared" si="4"/>
        <v>Below Mid</v>
      </c>
      <c r="S162" s="23">
        <v>4</v>
      </c>
      <c r="T162" s="25">
        <f>INDEX('Merit Matrix'!$B$4:$F$8,
       MATCH($S162,'Merit Matrix'!$A$4:$A$8,0),
       MATCH(TRIM($R162),'Merit Matrix'!$B$3:$F$3,0))</f>
        <v>0.05</v>
      </c>
      <c r="U162" s="24">
        <f>Table13[[#This Row],[Salary increase %]]*Table13[[#This Row],[Monthly Gross Salary]]</f>
        <v>2350</v>
      </c>
      <c r="V162" s="23">
        <f>Table13[[#This Row],[Salary increase Amount]]+Table13[[#This Row],[Monthly Gross Salary]]</f>
        <v>49350</v>
      </c>
      <c r="W162" s="75">
        <v>0.15</v>
      </c>
      <c r="X162" s="6">
        <f>Table13[[#This Row],[New Gross Salary]]*Table13[[#This Row],[STI %]]</f>
        <v>7402.5</v>
      </c>
      <c r="Y162" s="96">
        <v>1.2</v>
      </c>
      <c r="Z162" s="6">
        <f>Table13[[#This Row],[Target STI]]*Table13[[#This Row],[Multiplier]]</f>
        <v>8883</v>
      </c>
      <c r="AA162" s="26">
        <v>0.31</v>
      </c>
      <c r="AB162" s="21" t="s">
        <v>18</v>
      </c>
      <c r="AC162" s="24">
        <f>(Table13[[#This Row],[New Gross Salary]]+Table13[[#This Row],[Final STI]])*Table13[[#This Row],[Tax %]]</f>
        <v>18052.23</v>
      </c>
      <c r="AD162" s="24">
        <f>Table13[[#This Row],[New Gross Salary]]*5%</f>
        <v>2467.5</v>
      </c>
      <c r="AE162" s="21" cm="1">
        <f t="array" ref="AE162">_xlfn.XLOOKUP(AB162,{"A","B","C"},{500,800,1200})</f>
        <v>500</v>
      </c>
      <c r="AF162" s="24">
        <f t="shared" si="5"/>
        <v>21019.73</v>
      </c>
      <c r="AG162" s="27">
        <f>Table13[[#This Row],[New Gross Salary]]+Table13[[#This Row],[Final STI]]-Table13[[#This Row],[Total Deductions
(Tax+Pension+HP)]]</f>
        <v>37213.270000000004</v>
      </c>
    </row>
    <row r="163" spans="1:33" x14ac:dyDescent="0.2">
      <c r="A163" s="20">
        <v>1162</v>
      </c>
      <c r="B163" s="21" t="s">
        <v>174</v>
      </c>
      <c r="C163" s="21" t="s">
        <v>42</v>
      </c>
      <c r="D163" s="21" t="s">
        <v>555</v>
      </c>
      <c r="E163" s="22">
        <v>44562</v>
      </c>
      <c r="F163" s="21" t="s">
        <v>437</v>
      </c>
      <c r="G163" s="21" t="s">
        <v>522</v>
      </c>
      <c r="H163" s="21" t="s">
        <v>520</v>
      </c>
      <c r="I163" s="5" t="s">
        <v>661</v>
      </c>
      <c r="J163" s="21" t="s">
        <v>533</v>
      </c>
      <c r="K163" s="21" t="s">
        <v>536</v>
      </c>
      <c r="L163" s="23">
        <v>30348</v>
      </c>
      <c r="M163" s="23" t="s">
        <v>673</v>
      </c>
      <c r="N163" s="23">
        <v>30000</v>
      </c>
      <c r="O163" s="23">
        <v>35000</v>
      </c>
      <c r="P163" s="23">
        <v>40000</v>
      </c>
      <c r="Q163" s="24">
        <f>Table13[[#This Row],[Monthly Gross Salary]]/Table13[[#This Row],[Mid]]</f>
        <v>0.86708571428571424</v>
      </c>
      <c r="R163" s="23" t="str">
        <f t="shared" si="4"/>
        <v>Below Mid</v>
      </c>
      <c r="S163" s="23">
        <v>4</v>
      </c>
      <c r="T163" s="25">
        <f>INDEX('Merit Matrix'!$B$4:$F$8,
       MATCH($S163,'Merit Matrix'!$A$4:$A$8,0),
       MATCH(TRIM($R163),'Merit Matrix'!$B$3:$F$3,0))</f>
        <v>0.05</v>
      </c>
      <c r="U163" s="24">
        <f>Table13[[#This Row],[Salary increase %]]*Table13[[#This Row],[Monthly Gross Salary]]</f>
        <v>1517.4</v>
      </c>
      <c r="V163" s="23">
        <f>Table13[[#This Row],[Salary increase Amount]]+Table13[[#This Row],[Monthly Gross Salary]]</f>
        <v>31865.4</v>
      </c>
      <c r="W163" s="75">
        <v>0.1</v>
      </c>
      <c r="X163" s="6">
        <f>Table13[[#This Row],[New Gross Salary]]*Table13[[#This Row],[STI %]]</f>
        <v>3186.5400000000004</v>
      </c>
      <c r="Y163" s="96">
        <v>1.2</v>
      </c>
      <c r="Z163" s="6">
        <f>Table13[[#This Row],[Target STI]]*Table13[[#This Row],[Multiplier]]</f>
        <v>3823.8480000000004</v>
      </c>
      <c r="AA163" s="26">
        <v>0.28999999999999998</v>
      </c>
      <c r="AB163" s="21" t="s">
        <v>6</v>
      </c>
      <c r="AC163" s="24">
        <f>(Table13[[#This Row],[New Gross Salary]]+Table13[[#This Row],[Final STI]])*Table13[[#This Row],[Tax %]]</f>
        <v>10349.88192</v>
      </c>
      <c r="AD163" s="24">
        <f>Table13[[#This Row],[New Gross Salary]]*5%</f>
        <v>1593.2700000000002</v>
      </c>
      <c r="AE163" s="21" cm="1">
        <f t="array" ref="AE163">_xlfn.XLOOKUP(AB163,{"A","B","C"},{500,800,1200})</f>
        <v>1200</v>
      </c>
      <c r="AF163" s="24">
        <f t="shared" si="5"/>
        <v>13143.15192</v>
      </c>
      <c r="AG163" s="27">
        <f>Table13[[#This Row],[New Gross Salary]]+Table13[[#This Row],[Final STI]]-Table13[[#This Row],[Total Deductions
(Tax+Pension+HP)]]</f>
        <v>22546.096079999999</v>
      </c>
    </row>
    <row r="164" spans="1:33" x14ac:dyDescent="0.2">
      <c r="A164" s="20">
        <v>1163</v>
      </c>
      <c r="B164" s="21" t="s">
        <v>175</v>
      </c>
      <c r="C164" s="21" t="s">
        <v>5</v>
      </c>
      <c r="D164" s="21" t="s">
        <v>550</v>
      </c>
      <c r="E164" s="22">
        <v>43831</v>
      </c>
      <c r="F164" s="21" t="s">
        <v>438</v>
      </c>
      <c r="G164" s="21" t="s">
        <v>522</v>
      </c>
      <c r="H164" s="21" t="s">
        <v>520</v>
      </c>
      <c r="I164" s="5" t="s">
        <v>661</v>
      </c>
      <c r="J164" s="21" t="s">
        <v>532</v>
      </c>
      <c r="K164" s="21" t="s">
        <v>540</v>
      </c>
      <c r="L164" s="23">
        <v>86756</v>
      </c>
      <c r="M164" s="23" t="s">
        <v>673</v>
      </c>
      <c r="N164" s="23">
        <v>58000</v>
      </c>
      <c r="O164" s="23">
        <v>75000</v>
      </c>
      <c r="P164" s="23">
        <v>87000</v>
      </c>
      <c r="Q164" s="24">
        <f>Table13[[#This Row],[Monthly Gross Salary]]/Table13[[#This Row],[Mid]]</f>
        <v>1.1567466666666666</v>
      </c>
      <c r="R164" s="23" t="str">
        <f t="shared" si="4"/>
        <v>High</v>
      </c>
      <c r="S164" s="23">
        <v>4</v>
      </c>
      <c r="T164" s="25">
        <f>INDEX('Merit Matrix'!$B$4:$F$8,
       MATCH($S164,'Merit Matrix'!$A$4:$A$8,0),
       MATCH(TRIM($R164),'Merit Matrix'!$B$3:$F$3,0))</f>
        <v>1.4999999999999999E-2</v>
      </c>
      <c r="U164" s="24">
        <f>Table13[[#This Row],[Salary increase %]]*Table13[[#This Row],[Monthly Gross Salary]]</f>
        <v>1301.3399999999999</v>
      </c>
      <c r="V164" s="23">
        <f>Table13[[#This Row],[Salary increase Amount]]+Table13[[#This Row],[Monthly Gross Salary]]</f>
        <v>88057.34</v>
      </c>
      <c r="W164" s="75">
        <v>0.2</v>
      </c>
      <c r="X164" s="6">
        <f>Table13[[#This Row],[New Gross Salary]]*Table13[[#This Row],[STI %]]</f>
        <v>17611.468000000001</v>
      </c>
      <c r="Y164" s="96">
        <v>1.2</v>
      </c>
      <c r="Z164" s="6">
        <f>Table13[[#This Row],[Target STI]]*Table13[[#This Row],[Multiplier]]</f>
        <v>21133.761600000002</v>
      </c>
      <c r="AA164" s="26">
        <v>0.32</v>
      </c>
      <c r="AB164" s="21" t="s">
        <v>6</v>
      </c>
      <c r="AC164" s="24">
        <f>(Table13[[#This Row],[New Gross Salary]]+Table13[[#This Row],[Final STI]])*Table13[[#This Row],[Tax %]]</f>
        <v>34941.152512000001</v>
      </c>
      <c r="AD164" s="24">
        <f>Table13[[#This Row],[New Gross Salary]]*5%</f>
        <v>4402.8670000000002</v>
      </c>
      <c r="AE164" s="21" cm="1">
        <f t="array" ref="AE164">_xlfn.XLOOKUP(AB164,{"A","B","C"},{500,800,1200})</f>
        <v>1200</v>
      </c>
      <c r="AF164" s="24">
        <f t="shared" si="5"/>
        <v>40544.019511999999</v>
      </c>
      <c r="AG164" s="27">
        <f>Table13[[#This Row],[New Gross Salary]]+Table13[[#This Row],[Final STI]]-Table13[[#This Row],[Total Deductions
(Tax+Pension+HP)]]</f>
        <v>68647.082087999996</v>
      </c>
    </row>
    <row r="165" spans="1:33" x14ac:dyDescent="0.2">
      <c r="A165" s="20">
        <v>1164</v>
      </c>
      <c r="B165" s="21" t="s">
        <v>176</v>
      </c>
      <c r="C165" s="21" t="s">
        <v>17</v>
      </c>
      <c r="D165" s="21" t="s">
        <v>560</v>
      </c>
      <c r="E165" s="22">
        <v>45292</v>
      </c>
      <c r="F165" s="21" t="s">
        <v>439</v>
      </c>
      <c r="G165" s="21" t="s">
        <v>526</v>
      </c>
      <c r="H165" s="21" t="s">
        <v>520</v>
      </c>
      <c r="I165" s="5" t="s">
        <v>661</v>
      </c>
      <c r="J165" s="21" t="s">
        <v>535</v>
      </c>
      <c r="K165" s="21" t="s">
        <v>538</v>
      </c>
      <c r="L165" s="23">
        <v>47000</v>
      </c>
      <c r="M165" s="23" t="s">
        <v>673</v>
      </c>
      <c r="N165" s="23">
        <v>38000</v>
      </c>
      <c r="O165" s="23">
        <v>50000</v>
      </c>
      <c r="P165" s="23">
        <v>56000</v>
      </c>
      <c r="Q165" s="24">
        <f>Table13[[#This Row],[Monthly Gross Salary]]/Table13[[#This Row],[Mid]]</f>
        <v>0.94</v>
      </c>
      <c r="R165" s="23" t="str">
        <f t="shared" si="4"/>
        <v>Below Mid</v>
      </c>
      <c r="S165" s="23">
        <v>3</v>
      </c>
      <c r="T165" s="25">
        <f>INDEX('Merit Matrix'!$B$4:$F$8,
       MATCH($S165,'Merit Matrix'!$A$4:$A$8,0),
       MATCH(TRIM($R165),'Merit Matrix'!$B$3:$F$3,0))</f>
        <v>0.03</v>
      </c>
      <c r="U165" s="24">
        <f>Table13[[#This Row],[Salary increase %]]*Table13[[#This Row],[Monthly Gross Salary]]</f>
        <v>1410</v>
      </c>
      <c r="V165" s="23">
        <f>Table13[[#This Row],[Salary increase Amount]]+Table13[[#This Row],[Monthly Gross Salary]]</f>
        <v>48410</v>
      </c>
      <c r="W165" s="75">
        <v>0.15</v>
      </c>
      <c r="X165" s="6">
        <f>Table13[[#This Row],[New Gross Salary]]*Table13[[#This Row],[STI %]]</f>
        <v>7261.5</v>
      </c>
      <c r="Y165" s="96">
        <v>1</v>
      </c>
      <c r="Z165" s="6">
        <f>Table13[[#This Row],[Target STI]]*Table13[[#This Row],[Multiplier]]</f>
        <v>7261.5</v>
      </c>
      <c r="AA165" s="26">
        <v>0.31</v>
      </c>
      <c r="AB165" s="21" t="s">
        <v>18</v>
      </c>
      <c r="AC165" s="24">
        <f>(Table13[[#This Row],[New Gross Salary]]+Table13[[#This Row],[Final STI]])*Table13[[#This Row],[Tax %]]</f>
        <v>17258.165000000001</v>
      </c>
      <c r="AD165" s="24">
        <f>Table13[[#This Row],[New Gross Salary]]*5%</f>
        <v>2420.5</v>
      </c>
      <c r="AE165" s="21" cm="1">
        <f t="array" ref="AE165">_xlfn.XLOOKUP(AB165,{"A","B","C"},{500,800,1200})</f>
        <v>500</v>
      </c>
      <c r="AF165" s="24">
        <f t="shared" si="5"/>
        <v>20178.665000000001</v>
      </c>
      <c r="AG165" s="27">
        <f>Table13[[#This Row],[New Gross Salary]]+Table13[[#This Row],[Final STI]]-Table13[[#This Row],[Total Deductions
(Tax+Pension+HP)]]</f>
        <v>35492.834999999999</v>
      </c>
    </row>
    <row r="166" spans="1:33" x14ac:dyDescent="0.2">
      <c r="A166" s="20">
        <v>1165</v>
      </c>
      <c r="B166" s="21" t="s">
        <v>177</v>
      </c>
      <c r="C166" s="21" t="s">
        <v>5</v>
      </c>
      <c r="D166" s="21" t="s">
        <v>550</v>
      </c>
      <c r="E166" s="22">
        <v>43831</v>
      </c>
      <c r="F166" s="21" t="s">
        <v>440</v>
      </c>
      <c r="G166" s="21" t="s">
        <v>526</v>
      </c>
      <c r="H166" s="21" t="s">
        <v>520</v>
      </c>
      <c r="I166" s="5" t="s">
        <v>661</v>
      </c>
      <c r="J166" s="21" t="s">
        <v>532</v>
      </c>
      <c r="K166" s="21" t="s">
        <v>540</v>
      </c>
      <c r="L166" s="23">
        <v>86756</v>
      </c>
      <c r="M166" s="23" t="s">
        <v>673</v>
      </c>
      <c r="N166" s="23">
        <v>58000</v>
      </c>
      <c r="O166" s="23">
        <v>75000</v>
      </c>
      <c r="P166" s="23">
        <v>87000</v>
      </c>
      <c r="Q166" s="24">
        <f>Table13[[#This Row],[Monthly Gross Salary]]/Table13[[#This Row],[Mid]]</f>
        <v>1.1567466666666666</v>
      </c>
      <c r="R166" s="23" t="str">
        <f t="shared" si="4"/>
        <v>High</v>
      </c>
      <c r="S166" s="23">
        <v>3</v>
      </c>
      <c r="T166" s="25">
        <f>INDEX('Merit Matrix'!$B$4:$F$8,
       MATCH($S166,'Merit Matrix'!$A$4:$A$8,0),
       MATCH(TRIM($R166),'Merit Matrix'!$B$3:$F$3,0))</f>
        <v>0.01</v>
      </c>
      <c r="U166" s="24">
        <f>Table13[[#This Row],[Salary increase %]]*Table13[[#This Row],[Monthly Gross Salary]]</f>
        <v>867.56000000000006</v>
      </c>
      <c r="V166" s="23">
        <f>Table13[[#This Row],[Salary increase Amount]]+Table13[[#This Row],[Monthly Gross Salary]]</f>
        <v>87623.56</v>
      </c>
      <c r="W166" s="75">
        <v>0.2</v>
      </c>
      <c r="X166" s="6">
        <f>Table13[[#This Row],[New Gross Salary]]*Table13[[#This Row],[STI %]]</f>
        <v>17524.712</v>
      </c>
      <c r="Y166" s="96">
        <v>1</v>
      </c>
      <c r="Z166" s="6">
        <f>Table13[[#This Row],[Target STI]]*Table13[[#This Row],[Multiplier]]</f>
        <v>17524.712</v>
      </c>
      <c r="AA166" s="26">
        <v>0.3</v>
      </c>
      <c r="AB166" s="21" t="s">
        <v>6</v>
      </c>
      <c r="AC166" s="24">
        <f>(Table13[[#This Row],[New Gross Salary]]+Table13[[#This Row],[Final STI]])*Table13[[#This Row],[Tax %]]</f>
        <v>31544.481599999999</v>
      </c>
      <c r="AD166" s="24">
        <f>Table13[[#This Row],[New Gross Salary]]*5%</f>
        <v>4381.1779999999999</v>
      </c>
      <c r="AE166" s="21" cm="1">
        <f t="array" ref="AE166">_xlfn.XLOOKUP(AB166,{"A","B","C"},{500,800,1200})</f>
        <v>1200</v>
      </c>
      <c r="AF166" s="24">
        <f t="shared" si="5"/>
        <v>37125.659599999999</v>
      </c>
      <c r="AG166" s="27">
        <f>Table13[[#This Row],[New Gross Salary]]+Table13[[#This Row],[Final STI]]-Table13[[#This Row],[Total Deductions
(Tax+Pension+HP)]]</f>
        <v>68022.612399999998</v>
      </c>
    </row>
    <row r="167" spans="1:33" x14ac:dyDescent="0.2">
      <c r="A167" s="20">
        <v>1166</v>
      </c>
      <c r="B167" s="21" t="s">
        <v>178</v>
      </c>
      <c r="C167" s="21" t="s">
        <v>42</v>
      </c>
      <c r="D167" s="21" t="s">
        <v>555</v>
      </c>
      <c r="E167" s="22">
        <v>44562</v>
      </c>
      <c r="F167" s="21" t="s">
        <v>441</v>
      </c>
      <c r="G167" s="21" t="s">
        <v>526</v>
      </c>
      <c r="H167" s="21" t="s">
        <v>520</v>
      </c>
      <c r="I167" s="5" t="s">
        <v>661</v>
      </c>
      <c r="J167" s="21" t="s">
        <v>533</v>
      </c>
      <c r="K167" s="21" t="s">
        <v>536</v>
      </c>
      <c r="L167" s="23">
        <v>35433</v>
      </c>
      <c r="M167" s="23" t="s">
        <v>673</v>
      </c>
      <c r="N167" s="23">
        <v>30000</v>
      </c>
      <c r="O167" s="23">
        <v>35000</v>
      </c>
      <c r="P167" s="23">
        <v>40000</v>
      </c>
      <c r="Q167" s="24">
        <f>Table13[[#This Row],[Monthly Gross Salary]]/Table13[[#This Row],[Mid]]</f>
        <v>1.0123714285714285</v>
      </c>
      <c r="R167" s="23" t="str">
        <f t="shared" si="4"/>
        <v>Around Mid</v>
      </c>
      <c r="S167" s="23">
        <v>3</v>
      </c>
      <c r="T167" s="25">
        <f>INDEX('Merit Matrix'!$B$4:$F$8,
       MATCH($S167,'Merit Matrix'!$A$4:$A$8,0),
       MATCH(TRIM($R167),'Merit Matrix'!$B$3:$F$3,0))</f>
        <v>2.5000000000000001E-2</v>
      </c>
      <c r="U167" s="24">
        <f>Table13[[#This Row],[Salary increase %]]*Table13[[#This Row],[Monthly Gross Salary]]</f>
        <v>885.82500000000005</v>
      </c>
      <c r="V167" s="23">
        <f>Table13[[#This Row],[Salary increase Amount]]+Table13[[#This Row],[Monthly Gross Salary]]</f>
        <v>36318.824999999997</v>
      </c>
      <c r="W167" s="75">
        <v>0.1</v>
      </c>
      <c r="X167" s="6">
        <f>Table13[[#This Row],[New Gross Salary]]*Table13[[#This Row],[STI %]]</f>
        <v>3631.8824999999997</v>
      </c>
      <c r="Y167" s="96">
        <v>1</v>
      </c>
      <c r="Z167" s="6">
        <f>Table13[[#This Row],[Target STI]]*Table13[[#This Row],[Multiplier]]</f>
        <v>3631.8824999999997</v>
      </c>
      <c r="AA167" s="26">
        <v>0.28000000000000003</v>
      </c>
      <c r="AB167" s="21" t="s">
        <v>18</v>
      </c>
      <c r="AC167" s="24">
        <f>(Table13[[#This Row],[New Gross Salary]]+Table13[[#This Row],[Final STI]])*Table13[[#This Row],[Tax %]]</f>
        <v>11186.1981</v>
      </c>
      <c r="AD167" s="24">
        <f>Table13[[#This Row],[New Gross Salary]]*5%</f>
        <v>1815.9412499999999</v>
      </c>
      <c r="AE167" s="21" cm="1">
        <f t="array" ref="AE167">_xlfn.XLOOKUP(AB167,{"A","B","C"},{500,800,1200})</f>
        <v>500</v>
      </c>
      <c r="AF167" s="24">
        <f t="shared" si="5"/>
        <v>13502.139349999999</v>
      </c>
      <c r="AG167" s="27">
        <f>Table13[[#This Row],[New Gross Salary]]+Table13[[#This Row],[Final STI]]-Table13[[#This Row],[Total Deductions
(Tax+Pension+HP)]]</f>
        <v>26448.568149999999</v>
      </c>
    </row>
    <row r="168" spans="1:33" x14ac:dyDescent="0.2">
      <c r="A168" s="20">
        <v>1167</v>
      </c>
      <c r="B168" s="21" t="s">
        <v>179</v>
      </c>
      <c r="C168" s="21" t="s">
        <v>8</v>
      </c>
      <c r="D168" s="21" t="s">
        <v>544</v>
      </c>
      <c r="E168" s="22">
        <v>44562</v>
      </c>
      <c r="F168" s="21" t="s">
        <v>442</v>
      </c>
      <c r="G168" s="21" t="s">
        <v>526</v>
      </c>
      <c r="H168" s="21" t="s">
        <v>520</v>
      </c>
      <c r="I168" s="5" t="s">
        <v>661</v>
      </c>
      <c r="J168" s="21" t="s">
        <v>535</v>
      </c>
      <c r="K168" s="21" t="s">
        <v>538</v>
      </c>
      <c r="L168" s="23">
        <v>47000</v>
      </c>
      <c r="M168" s="23" t="s">
        <v>673</v>
      </c>
      <c r="N168" s="23">
        <v>38000</v>
      </c>
      <c r="O168" s="23">
        <v>50000</v>
      </c>
      <c r="P168" s="23">
        <v>56000</v>
      </c>
      <c r="Q168" s="24">
        <f>Table13[[#This Row],[Monthly Gross Salary]]/Table13[[#This Row],[Mid]]</f>
        <v>0.94</v>
      </c>
      <c r="R168" s="23" t="str">
        <f t="shared" si="4"/>
        <v>Below Mid</v>
      </c>
      <c r="S168" s="23">
        <v>3</v>
      </c>
      <c r="T168" s="25">
        <f>INDEX('Merit Matrix'!$B$4:$F$8,
       MATCH($S168,'Merit Matrix'!$A$4:$A$8,0),
       MATCH(TRIM($R168),'Merit Matrix'!$B$3:$F$3,0))</f>
        <v>0.03</v>
      </c>
      <c r="U168" s="24">
        <f>Table13[[#This Row],[Salary increase %]]*Table13[[#This Row],[Monthly Gross Salary]]</f>
        <v>1410</v>
      </c>
      <c r="V168" s="23">
        <f>Table13[[#This Row],[Salary increase Amount]]+Table13[[#This Row],[Monthly Gross Salary]]</f>
        <v>48410</v>
      </c>
      <c r="W168" s="75">
        <v>0.2</v>
      </c>
      <c r="X168" s="6">
        <f>Table13[[#This Row],[New Gross Salary]]*Table13[[#This Row],[STI %]]</f>
        <v>9682</v>
      </c>
      <c r="Y168" s="96">
        <v>1</v>
      </c>
      <c r="Z168" s="6">
        <f>Table13[[#This Row],[Target STI]]*Table13[[#This Row],[Multiplier]]</f>
        <v>9682</v>
      </c>
      <c r="AA168" s="26">
        <v>0.31</v>
      </c>
      <c r="AB168" s="21" t="s">
        <v>9</v>
      </c>
      <c r="AC168" s="24">
        <f>(Table13[[#This Row],[New Gross Salary]]+Table13[[#This Row],[Final STI]])*Table13[[#This Row],[Tax %]]</f>
        <v>18008.52</v>
      </c>
      <c r="AD168" s="24">
        <f>Table13[[#This Row],[New Gross Salary]]*5%</f>
        <v>2420.5</v>
      </c>
      <c r="AE168" s="21" cm="1">
        <f t="array" ref="AE168">_xlfn.XLOOKUP(AB168,{"A","B","C"},{500,800,1200})</f>
        <v>800</v>
      </c>
      <c r="AF168" s="24">
        <f t="shared" si="5"/>
        <v>21229.02</v>
      </c>
      <c r="AG168" s="27">
        <f>Table13[[#This Row],[New Gross Salary]]+Table13[[#This Row],[Final STI]]-Table13[[#This Row],[Total Deductions
(Tax+Pension+HP)]]</f>
        <v>36862.979999999996</v>
      </c>
    </row>
    <row r="169" spans="1:33" x14ac:dyDescent="0.2">
      <c r="A169" s="20">
        <v>1168</v>
      </c>
      <c r="B169" s="21" t="s">
        <v>180</v>
      </c>
      <c r="C169" s="21" t="s">
        <v>42</v>
      </c>
      <c r="D169" s="21" t="s">
        <v>555</v>
      </c>
      <c r="E169" s="22">
        <v>44562</v>
      </c>
      <c r="F169" s="21" t="s">
        <v>443</v>
      </c>
      <c r="G169" s="21" t="s">
        <v>526</v>
      </c>
      <c r="H169" s="21" t="s">
        <v>520</v>
      </c>
      <c r="I169" s="5" t="s">
        <v>661</v>
      </c>
      <c r="J169" s="21" t="s">
        <v>533</v>
      </c>
      <c r="K169" s="21" t="s">
        <v>536</v>
      </c>
      <c r="L169" s="23">
        <v>35285</v>
      </c>
      <c r="M169" s="23" t="s">
        <v>673</v>
      </c>
      <c r="N169" s="23">
        <v>30000</v>
      </c>
      <c r="O169" s="23">
        <v>35000</v>
      </c>
      <c r="P169" s="23">
        <v>40000</v>
      </c>
      <c r="Q169" s="24">
        <f>Table13[[#This Row],[Monthly Gross Salary]]/Table13[[#This Row],[Mid]]</f>
        <v>1.0081428571428572</v>
      </c>
      <c r="R169" s="23" t="str">
        <f t="shared" si="4"/>
        <v>Around Mid</v>
      </c>
      <c r="S169" s="23">
        <v>3</v>
      </c>
      <c r="T169" s="25">
        <f>INDEX('Merit Matrix'!$B$4:$F$8,
       MATCH($S169,'Merit Matrix'!$A$4:$A$8,0),
       MATCH(TRIM($R169),'Merit Matrix'!$B$3:$F$3,0))</f>
        <v>2.5000000000000001E-2</v>
      </c>
      <c r="U169" s="24">
        <f>Table13[[#This Row],[Salary increase %]]*Table13[[#This Row],[Monthly Gross Salary]]</f>
        <v>882.125</v>
      </c>
      <c r="V169" s="23">
        <f>Table13[[#This Row],[Salary increase Amount]]+Table13[[#This Row],[Monthly Gross Salary]]</f>
        <v>36167.125</v>
      </c>
      <c r="W169" s="75">
        <v>0.1</v>
      </c>
      <c r="X169" s="6">
        <f>Table13[[#This Row],[New Gross Salary]]*Table13[[#This Row],[STI %]]</f>
        <v>3616.7125000000001</v>
      </c>
      <c r="Y169" s="96">
        <v>1</v>
      </c>
      <c r="Z169" s="6">
        <f>Table13[[#This Row],[Target STI]]*Table13[[#This Row],[Multiplier]]</f>
        <v>3616.7125000000001</v>
      </c>
      <c r="AA169" s="26">
        <v>0.28000000000000003</v>
      </c>
      <c r="AB169" s="21" t="s">
        <v>9</v>
      </c>
      <c r="AC169" s="24">
        <f>(Table13[[#This Row],[New Gross Salary]]+Table13[[#This Row],[Final STI]])*Table13[[#This Row],[Tax %]]</f>
        <v>11139.474500000002</v>
      </c>
      <c r="AD169" s="24">
        <f>Table13[[#This Row],[New Gross Salary]]*5%</f>
        <v>1808.35625</v>
      </c>
      <c r="AE169" s="21" cm="1">
        <f t="array" ref="AE169">_xlfn.XLOOKUP(AB169,{"A","B","C"},{500,800,1200})</f>
        <v>800</v>
      </c>
      <c r="AF169" s="24">
        <f t="shared" si="5"/>
        <v>13747.830750000003</v>
      </c>
      <c r="AG169" s="27">
        <f>Table13[[#This Row],[New Gross Salary]]+Table13[[#This Row],[Final STI]]-Table13[[#This Row],[Total Deductions
(Tax+Pension+HP)]]</f>
        <v>26036.00675</v>
      </c>
    </row>
    <row r="170" spans="1:33" x14ac:dyDescent="0.2">
      <c r="A170" s="20">
        <v>1169</v>
      </c>
      <c r="B170" s="21" t="s">
        <v>181</v>
      </c>
      <c r="C170" s="21" t="s">
        <v>42</v>
      </c>
      <c r="D170" s="21" t="s">
        <v>556</v>
      </c>
      <c r="E170" s="22">
        <v>43831</v>
      </c>
      <c r="F170" s="21" t="s">
        <v>444</v>
      </c>
      <c r="G170" s="21" t="s">
        <v>526</v>
      </c>
      <c r="H170" s="21" t="s">
        <v>520</v>
      </c>
      <c r="I170" s="5" t="s">
        <v>661</v>
      </c>
      <c r="J170" s="21" t="s">
        <v>532</v>
      </c>
      <c r="K170" s="21" t="s">
        <v>539</v>
      </c>
      <c r="L170" s="23">
        <v>71263</v>
      </c>
      <c r="M170" s="23" t="s">
        <v>673</v>
      </c>
      <c r="N170" s="23">
        <v>55000</v>
      </c>
      <c r="O170" s="23">
        <v>75000</v>
      </c>
      <c r="P170" s="23">
        <v>85000</v>
      </c>
      <c r="Q170" s="24">
        <f>Table13[[#This Row],[Monthly Gross Salary]]/Table13[[#This Row],[Mid]]</f>
        <v>0.95017333333333331</v>
      </c>
      <c r="R170" s="23" t="str">
        <f t="shared" si="4"/>
        <v>Around Mid</v>
      </c>
      <c r="S170" s="23">
        <v>3</v>
      </c>
      <c r="T170" s="25">
        <f>INDEX('Merit Matrix'!$B$4:$F$8,
       MATCH($S170,'Merit Matrix'!$A$4:$A$8,0),
       MATCH(TRIM($R170),'Merit Matrix'!$B$3:$F$3,0))</f>
        <v>2.5000000000000001E-2</v>
      </c>
      <c r="U170" s="24">
        <f>Table13[[#This Row],[Salary increase %]]*Table13[[#This Row],[Monthly Gross Salary]]</f>
        <v>1781.575</v>
      </c>
      <c r="V170" s="23">
        <f>Table13[[#This Row],[Salary increase Amount]]+Table13[[#This Row],[Monthly Gross Salary]]</f>
        <v>73044.574999999997</v>
      </c>
      <c r="W170" s="75">
        <v>0.2</v>
      </c>
      <c r="X170" s="6">
        <f>Table13[[#This Row],[New Gross Salary]]*Table13[[#This Row],[STI %]]</f>
        <v>14608.915000000001</v>
      </c>
      <c r="Y170" s="96">
        <v>1</v>
      </c>
      <c r="Z170" s="6">
        <f>Table13[[#This Row],[Target STI]]*Table13[[#This Row],[Multiplier]]</f>
        <v>14608.915000000001</v>
      </c>
      <c r="AA170" s="26">
        <v>0.32</v>
      </c>
      <c r="AB170" s="21" t="s">
        <v>6</v>
      </c>
      <c r="AC170" s="24">
        <f>(Table13[[#This Row],[New Gross Salary]]+Table13[[#This Row],[Final STI]])*Table13[[#This Row],[Tax %]]</f>
        <v>28049.116799999996</v>
      </c>
      <c r="AD170" s="24">
        <f>Table13[[#This Row],[New Gross Salary]]*5%</f>
        <v>3652.2287500000002</v>
      </c>
      <c r="AE170" s="21" cm="1">
        <f t="array" ref="AE170">_xlfn.XLOOKUP(AB170,{"A","B","C"},{500,800,1200})</f>
        <v>1200</v>
      </c>
      <c r="AF170" s="24">
        <f t="shared" si="5"/>
        <v>32901.345549999998</v>
      </c>
      <c r="AG170" s="27">
        <f>Table13[[#This Row],[New Gross Salary]]+Table13[[#This Row],[Final STI]]-Table13[[#This Row],[Total Deductions
(Tax+Pension+HP)]]</f>
        <v>54752.144449999993</v>
      </c>
    </row>
    <row r="171" spans="1:33" x14ac:dyDescent="0.2">
      <c r="A171" s="20">
        <v>1170</v>
      </c>
      <c r="B171" s="21" t="s">
        <v>182</v>
      </c>
      <c r="C171" s="21" t="s">
        <v>5</v>
      </c>
      <c r="D171" s="21" t="s">
        <v>550</v>
      </c>
      <c r="E171" s="22">
        <v>43831</v>
      </c>
      <c r="F171" s="21" t="s">
        <v>445</v>
      </c>
      <c r="G171" s="21" t="s">
        <v>526</v>
      </c>
      <c r="H171" s="21" t="s">
        <v>520</v>
      </c>
      <c r="I171" s="5" t="s">
        <v>661</v>
      </c>
      <c r="J171" s="21" t="s">
        <v>532</v>
      </c>
      <c r="K171" s="21" t="s">
        <v>540</v>
      </c>
      <c r="L171" s="23">
        <v>86756</v>
      </c>
      <c r="M171" s="23" t="s">
        <v>673</v>
      </c>
      <c r="N171" s="23">
        <v>58000</v>
      </c>
      <c r="O171" s="23">
        <v>75000</v>
      </c>
      <c r="P171" s="23">
        <v>87000</v>
      </c>
      <c r="Q171" s="24">
        <f>Table13[[#This Row],[Monthly Gross Salary]]/Table13[[#This Row],[Mid]]</f>
        <v>1.1567466666666666</v>
      </c>
      <c r="R171" s="23" t="str">
        <f t="shared" si="4"/>
        <v>High</v>
      </c>
      <c r="S171" s="23">
        <v>3</v>
      </c>
      <c r="T171" s="25">
        <f>INDEX('Merit Matrix'!$B$4:$F$8,
       MATCH($S171,'Merit Matrix'!$A$4:$A$8,0),
       MATCH(TRIM($R171),'Merit Matrix'!$B$3:$F$3,0))</f>
        <v>0.01</v>
      </c>
      <c r="U171" s="24">
        <f>Table13[[#This Row],[Salary increase %]]*Table13[[#This Row],[Monthly Gross Salary]]</f>
        <v>867.56000000000006</v>
      </c>
      <c r="V171" s="23">
        <f>Table13[[#This Row],[Salary increase Amount]]+Table13[[#This Row],[Monthly Gross Salary]]</f>
        <v>87623.56</v>
      </c>
      <c r="W171" s="75">
        <v>0.2</v>
      </c>
      <c r="X171" s="6">
        <f>Table13[[#This Row],[New Gross Salary]]*Table13[[#This Row],[STI %]]</f>
        <v>17524.712</v>
      </c>
      <c r="Y171" s="96">
        <v>1</v>
      </c>
      <c r="Z171" s="6">
        <f>Table13[[#This Row],[Target STI]]*Table13[[#This Row],[Multiplier]]</f>
        <v>17524.712</v>
      </c>
      <c r="AA171" s="26">
        <v>0.32</v>
      </c>
      <c r="AB171" s="21" t="s">
        <v>6</v>
      </c>
      <c r="AC171" s="24">
        <f>(Table13[[#This Row],[New Gross Salary]]+Table13[[#This Row],[Final STI]])*Table13[[#This Row],[Tax %]]</f>
        <v>33647.447039999999</v>
      </c>
      <c r="AD171" s="24">
        <f>Table13[[#This Row],[New Gross Salary]]*5%</f>
        <v>4381.1779999999999</v>
      </c>
      <c r="AE171" s="21" cm="1">
        <f t="array" ref="AE171">_xlfn.XLOOKUP(AB171,{"A","B","C"},{500,800,1200})</f>
        <v>1200</v>
      </c>
      <c r="AF171" s="24">
        <f t="shared" si="5"/>
        <v>39228.625039999999</v>
      </c>
      <c r="AG171" s="27">
        <f>Table13[[#This Row],[New Gross Salary]]+Table13[[#This Row],[Final STI]]-Table13[[#This Row],[Total Deductions
(Tax+Pension+HP)]]</f>
        <v>65919.646959999998</v>
      </c>
    </row>
    <row r="172" spans="1:33" x14ac:dyDescent="0.2">
      <c r="A172" s="20">
        <v>1171</v>
      </c>
      <c r="B172" s="21" t="s">
        <v>183</v>
      </c>
      <c r="C172" s="21" t="s">
        <v>14</v>
      </c>
      <c r="D172" s="21" t="s">
        <v>553</v>
      </c>
      <c r="E172" s="22">
        <v>43831</v>
      </c>
      <c r="F172" s="21" t="s">
        <v>446</v>
      </c>
      <c r="G172" s="21" t="s">
        <v>526</v>
      </c>
      <c r="H172" s="21" t="s">
        <v>520</v>
      </c>
      <c r="I172" s="5" t="s">
        <v>661</v>
      </c>
      <c r="J172" s="21" t="s">
        <v>532</v>
      </c>
      <c r="K172" s="21" t="s">
        <v>540</v>
      </c>
      <c r="L172" s="23">
        <v>86756</v>
      </c>
      <c r="M172" s="23" t="s">
        <v>673</v>
      </c>
      <c r="N172" s="23">
        <v>58000</v>
      </c>
      <c r="O172" s="23">
        <v>75000</v>
      </c>
      <c r="P172" s="23">
        <v>87000</v>
      </c>
      <c r="Q172" s="24">
        <f>Table13[[#This Row],[Monthly Gross Salary]]/Table13[[#This Row],[Mid]]</f>
        <v>1.1567466666666666</v>
      </c>
      <c r="R172" s="23" t="str">
        <f t="shared" si="4"/>
        <v>High</v>
      </c>
      <c r="S172" s="23">
        <v>3</v>
      </c>
      <c r="T172" s="25">
        <f>INDEX('Merit Matrix'!$B$4:$F$8,
       MATCH($S172,'Merit Matrix'!$A$4:$A$8,0),
       MATCH(TRIM($R172),'Merit Matrix'!$B$3:$F$3,0))</f>
        <v>0.01</v>
      </c>
      <c r="U172" s="24">
        <f>Table13[[#This Row],[Salary increase %]]*Table13[[#This Row],[Monthly Gross Salary]]</f>
        <v>867.56000000000006</v>
      </c>
      <c r="V172" s="23">
        <f>Table13[[#This Row],[Salary increase Amount]]+Table13[[#This Row],[Monthly Gross Salary]]</f>
        <v>87623.56</v>
      </c>
      <c r="W172" s="75">
        <v>0.2</v>
      </c>
      <c r="X172" s="6">
        <f>Table13[[#This Row],[New Gross Salary]]*Table13[[#This Row],[STI %]]</f>
        <v>17524.712</v>
      </c>
      <c r="Y172" s="96">
        <v>1</v>
      </c>
      <c r="Z172" s="6">
        <f>Table13[[#This Row],[Target STI]]*Table13[[#This Row],[Multiplier]]</f>
        <v>17524.712</v>
      </c>
      <c r="AA172" s="26">
        <v>0.31</v>
      </c>
      <c r="AB172" s="21" t="s">
        <v>18</v>
      </c>
      <c r="AC172" s="24">
        <f>(Table13[[#This Row],[New Gross Salary]]+Table13[[#This Row],[Final STI]])*Table13[[#This Row],[Tax %]]</f>
        <v>32595.964319999999</v>
      </c>
      <c r="AD172" s="24">
        <f>Table13[[#This Row],[New Gross Salary]]*5%</f>
        <v>4381.1779999999999</v>
      </c>
      <c r="AE172" s="21" cm="1">
        <f t="array" ref="AE172">_xlfn.XLOOKUP(AB172,{"A","B","C"},{500,800,1200})</f>
        <v>500</v>
      </c>
      <c r="AF172" s="24">
        <f t="shared" si="5"/>
        <v>37477.142319999999</v>
      </c>
      <c r="AG172" s="27">
        <f>Table13[[#This Row],[New Gross Salary]]+Table13[[#This Row],[Final STI]]-Table13[[#This Row],[Total Deductions
(Tax+Pension+HP)]]</f>
        <v>67671.129679999998</v>
      </c>
    </row>
    <row r="173" spans="1:33" x14ac:dyDescent="0.2">
      <c r="A173" s="20">
        <v>1172</v>
      </c>
      <c r="B173" s="21" t="s">
        <v>184</v>
      </c>
      <c r="C173" s="21" t="s">
        <v>11</v>
      </c>
      <c r="D173" s="21" t="s">
        <v>531</v>
      </c>
      <c r="E173" s="22">
        <v>44562</v>
      </c>
      <c r="F173" s="21" t="s">
        <v>447</v>
      </c>
      <c r="G173" s="21" t="s">
        <v>526</v>
      </c>
      <c r="H173" s="21" t="s">
        <v>520</v>
      </c>
      <c r="I173" s="5" t="s">
        <v>661</v>
      </c>
      <c r="J173" s="21" t="s">
        <v>533</v>
      </c>
      <c r="K173" s="21" t="s">
        <v>537</v>
      </c>
      <c r="L173" s="23">
        <v>43261</v>
      </c>
      <c r="M173" s="23" t="s">
        <v>673</v>
      </c>
      <c r="N173" s="23">
        <v>35000</v>
      </c>
      <c r="O173" s="23">
        <v>40000</v>
      </c>
      <c r="P173" s="23">
        <v>45000</v>
      </c>
      <c r="Q173" s="24">
        <f>Table13[[#This Row],[Monthly Gross Salary]]/Table13[[#This Row],[Mid]]</f>
        <v>1.0815250000000001</v>
      </c>
      <c r="R173" s="23" t="str">
        <f t="shared" si="4"/>
        <v>Above Mid</v>
      </c>
      <c r="S173" s="23">
        <v>3</v>
      </c>
      <c r="T173" s="25">
        <f>INDEX('Merit Matrix'!$B$4:$F$8,
       MATCH($S173,'Merit Matrix'!$A$4:$A$8,0),
       MATCH(TRIM($R173),'Merit Matrix'!$B$3:$F$3,0))</f>
        <v>0.02</v>
      </c>
      <c r="U173" s="24">
        <f>Table13[[#This Row],[Salary increase %]]*Table13[[#This Row],[Monthly Gross Salary]]</f>
        <v>865.22</v>
      </c>
      <c r="V173" s="23">
        <f>Table13[[#This Row],[Salary increase Amount]]+Table13[[#This Row],[Monthly Gross Salary]]</f>
        <v>44126.22</v>
      </c>
      <c r="W173" s="75">
        <v>0.1</v>
      </c>
      <c r="X173" s="6">
        <f>Table13[[#This Row],[New Gross Salary]]*Table13[[#This Row],[STI %]]</f>
        <v>4412.6220000000003</v>
      </c>
      <c r="Y173" s="96">
        <v>1</v>
      </c>
      <c r="Z173" s="6">
        <f>Table13[[#This Row],[Target STI]]*Table13[[#This Row],[Multiplier]]</f>
        <v>4412.6220000000003</v>
      </c>
      <c r="AA173" s="26">
        <v>0.32</v>
      </c>
      <c r="AB173" s="21" t="s">
        <v>18</v>
      </c>
      <c r="AC173" s="24">
        <f>(Table13[[#This Row],[New Gross Salary]]+Table13[[#This Row],[Final STI]])*Table13[[#This Row],[Tax %]]</f>
        <v>15532.429440000002</v>
      </c>
      <c r="AD173" s="24">
        <f>Table13[[#This Row],[New Gross Salary]]*5%</f>
        <v>2206.3110000000001</v>
      </c>
      <c r="AE173" s="21" cm="1">
        <f t="array" ref="AE173">_xlfn.XLOOKUP(AB173,{"A","B","C"},{500,800,1200})</f>
        <v>500</v>
      </c>
      <c r="AF173" s="24">
        <f t="shared" si="5"/>
        <v>18238.740440000001</v>
      </c>
      <c r="AG173" s="27">
        <f>Table13[[#This Row],[New Gross Salary]]+Table13[[#This Row],[Final STI]]-Table13[[#This Row],[Total Deductions
(Tax+Pension+HP)]]</f>
        <v>30300.101560000003</v>
      </c>
    </row>
    <row r="174" spans="1:33" x14ac:dyDescent="0.2">
      <c r="A174" s="20">
        <v>1173</v>
      </c>
      <c r="B174" s="21" t="s">
        <v>185</v>
      </c>
      <c r="C174" s="21" t="s">
        <v>14</v>
      </c>
      <c r="D174" s="21" t="s">
        <v>553</v>
      </c>
      <c r="E174" s="22">
        <v>43831</v>
      </c>
      <c r="F174" s="21" t="s">
        <v>448</v>
      </c>
      <c r="G174" s="21" t="s">
        <v>526</v>
      </c>
      <c r="H174" s="21" t="s">
        <v>520</v>
      </c>
      <c r="I174" s="5" t="s">
        <v>661</v>
      </c>
      <c r="J174" s="21" t="s">
        <v>532</v>
      </c>
      <c r="K174" s="21" t="s">
        <v>540</v>
      </c>
      <c r="L174" s="23">
        <v>86756</v>
      </c>
      <c r="M174" s="23" t="s">
        <v>673</v>
      </c>
      <c r="N174" s="23">
        <v>58000</v>
      </c>
      <c r="O174" s="23">
        <v>75000</v>
      </c>
      <c r="P174" s="23">
        <v>87000</v>
      </c>
      <c r="Q174" s="24">
        <f>Table13[[#This Row],[Monthly Gross Salary]]/Table13[[#This Row],[Mid]]</f>
        <v>1.1567466666666666</v>
      </c>
      <c r="R174" s="23" t="str">
        <f t="shared" si="4"/>
        <v>High</v>
      </c>
      <c r="S174" s="23">
        <v>3</v>
      </c>
      <c r="T174" s="25">
        <f>INDEX('Merit Matrix'!$B$4:$F$8,
       MATCH($S174,'Merit Matrix'!$A$4:$A$8,0),
       MATCH(TRIM($R174),'Merit Matrix'!$B$3:$F$3,0))</f>
        <v>0.01</v>
      </c>
      <c r="U174" s="24">
        <f>Table13[[#This Row],[Salary increase %]]*Table13[[#This Row],[Monthly Gross Salary]]</f>
        <v>867.56000000000006</v>
      </c>
      <c r="V174" s="23">
        <f>Table13[[#This Row],[Salary increase Amount]]+Table13[[#This Row],[Monthly Gross Salary]]</f>
        <v>87623.56</v>
      </c>
      <c r="W174" s="75">
        <v>0.2</v>
      </c>
      <c r="X174" s="6">
        <f>Table13[[#This Row],[New Gross Salary]]*Table13[[#This Row],[STI %]]</f>
        <v>17524.712</v>
      </c>
      <c r="Y174" s="96">
        <v>1</v>
      </c>
      <c r="Z174" s="6">
        <f>Table13[[#This Row],[Target STI]]*Table13[[#This Row],[Multiplier]]</f>
        <v>17524.712</v>
      </c>
      <c r="AA174" s="26">
        <v>0.3</v>
      </c>
      <c r="AB174" s="21" t="s">
        <v>18</v>
      </c>
      <c r="AC174" s="24">
        <f>(Table13[[#This Row],[New Gross Salary]]+Table13[[#This Row],[Final STI]])*Table13[[#This Row],[Tax %]]</f>
        <v>31544.481599999999</v>
      </c>
      <c r="AD174" s="24">
        <f>Table13[[#This Row],[New Gross Salary]]*5%</f>
        <v>4381.1779999999999</v>
      </c>
      <c r="AE174" s="21" cm="1">
        <f t="array" ref="AE174">_xlfn.XLOOKUP(AB174,{"A","B","C"},{500,800,1200})</f>
        <v>500</v>
      </c>
      <c r="AF174" s="24">
        <f t="shared" si="5"/>
        <v>36425.659599999999</v>
      </c>
      <c r="AG174" s="27">
        <f>Table13[[#This Row],[New Gross Salary]]+Table13[[#This Row],[Final STI]]-Table13[[#This Row],[Total Deductions
(Tax+Pension+HP)]]</f>
        <v>68722.612399999998</v>
      </c>
    </row>
    <row r="175" spans="1:33" x14ac:dyDescent="0.2">
      <c r="A175" s="20">
        <v>1174</v>
      </c>
      <c r="B175" s="21" t="s">
        <v>186</v>
      </c>
      <c r="C175" s="21" t="s">
        <v>17</v>
      </c>
      <c r="D175" s="21" t="s">
        <v>560</v>
      </c>
      <c r="E175" s="22">
        <v>45292</v>
      </c>
      <c r="F175" s="21" t="s">
        <v>449</v>
      </c>
      <c r="G175" s="21" t="s">
        <v>526</v>
      </c>
      <c r="H175" s="21" t="s">
        <v>520</v>
      </c>
      <c r="I175" s="5" t="s">
        <v>661</v>
      </c>
      <c r="J175" s="21" t="s">
        <v>535</v>
      </c>
      <c r="K175" s="21" t="s">
        <v>538</v>
      </c>
      <c r="L175" s="23">
        <v>47000</v>
      </c>
      <c r="M175" s="23" t="s">
        <v>673</v>
      </c>
      <c r="N175" s="23">
        <v>38000</v>
      </c>
      <c r="O175" s="23">
        <v>50000</v>
      </c>
      <c r="P175" s="23">
        <v>56000</v>
      </c>
      <c r="Q175" s="24">
        <f>Table13[[#This Row],[Monthly Gross Salary]]/Table13[[#This Row],[Mid]]</f>
        <v>0.94</v>
      </c>
      <c r="R175" s="23" t="str">
        <f t="shared" si="4"/>
        <v>Below Mid</v>
      </c>
      <c r="S175" s="23">
        <v>3</v>
      </c>
      <c r="T175" s="25">
        <f>INDEX('Merit Matrix'!$B$4:$F$8,
       MATCH($S175,'Merit Matrix'!$A$4:$A$8,0),
       MATCH(TRIM($R175),'Merit Matrix'!$B$3:$F$3,0))</f>
        <v>0.03</v>
      </c>
      <c r="U175" s="24">
        <f>Table13[[#This Row],[Salary increase %]]*Table13[[#This Row],[Monthly Gross Salary]]</f>
        <v>1410</v>
      </c>
      <c r="V175" s="23">
        <f>Table13[[#This Row],[Salary increase Amount]]+Table13[[#This Row],[Monthly Gross Salary]]</f>
        <v>48410</v>
      </c>
      <c r="W175" s="75">
        <v>0.15</v>
      </c>
      <c r="X175" s="6">
        <f>Table13[[#This Row],[New Gross Salary]]*Table13[[#This Row],[STI %]]</f>
        <v>7261.5</v>
      </c>
      <c r="Y175" s="96">
        <v>1</v>
      </c>
      <c r="Z175" s="6">
        <f>Table13[[#This Row],[Target STI]]*Table13[[#This Row],[Multiplier]]</f>
        <v>7261.5</v>
      </c>
      <c r="AA175" s="26">
        <v>0.27</v>
      </c>
      <c r="AB175" s="21" t="s">
        <v>6</v>
      </c>
      <c r="AC175" s="24">
        <f>(Table13[[#This Row],[New Gross Salary]]+Table13[[#This Row],[Final STI]])*Table13[[#This Row],[Tax %]]</f>
        <v>15031.305</v>
      </c>
      <c r="AD175" s="24">
        <f>Table13[[#This Row],[New Gross Salary]]*5%</f>
        <v>2420.5</v>
      </c>
      <c r="AE175" s="21" cm="1">
        <f t="array" ref="AE175">_xlfn.XLOOKUP(AB175,{"A","B","C"},{500,800,1200})</f>
        <v>1200</v>
      </c>
      <c r="AF175" s="24">
        <f t="shared" si="5"/>
        <v>18651.805</v>
      </c>
      <c r="AG175" s="27">
        <f>Table13[[#This Row],[New Gross Salary]]+Table13[[#This Row],[Final STI]]-Table13[[#This Row],[Total Deductions
(Tax+Pension+HP)]]</f>
        <v>37019.695</v>
      </c>
    </row>
    <row r="176" spans="1:33" x14ac:dyDescent="0.2">
      <c r="A176" s="20">
        <v>1175</v>
      </c>
      <c r="B176" s="21" t="s">
        <v>187</v>
      </c>
      <c r="C176" s="21" t="s">
        <v>5</v>
      </c>
      <c r="D176" s="21" t="s">
        <v>550</v>
      </c>
      <c r="E176" s="22">
        <v>43831</v>
      </c>
      <c r="F176" s="21" t="s">
        <v>450</v>
      </c>
      <c r="G176" s="21" t="s">
        <v>526</v>
      </c>
      <c r="H176" s="21" t="s">
        <v>520</v>
      </c>
      <c r="I176" s="5" t="s">
        <v>661</v>
      </c>
      <c r="J176" s="21" t="s">
        <v>532</v>
      </c>
      <c r="K176" s="21" t="s">
        <v>540</v>
      </c>
      <c r="L176" s="23">
        <v>86756</v>
      </c>
      <c r="M176" s="23" t="s">
        <v>673</v>
      </c>
      <c r="N176" s="23">
        <v>58000</v>
      </c>
      <c r="O176" s="23">
        <v>75000</v>
      </c>
      <c r="P176" s="23">
        <v>87000</v>
      </c>
      <c r="Q176" s="24">
        <f>Table13[[#This Row],[Monthly Gross Salary]]/Table13[[#This Row],[Mid]]</f>
        <v>1.1567466666666666</v>
      </c>
      <c r="R176" s="23" t="str">
        <f t="shared" si="4"/>
        <v>High</v>
      </c>
      <c r="S176" s="23">
        <v>3</v>
      </c>
      <c r="T176" s="25">
        <f>INDEX('Merit Matrix'!$B$4:$F$8,
       MATCH($S176,'Merit Matrix'!$A$4:$A$8,0),
       MATCH(TRIM($R176),'Merit Matrix'!$B$3:$F$3,0))</f>
        <v>0.01</v>
      </c>
      <c r="U176" s="24">
        <f>Table13[[#This Row],[Salary increase %]]*Table13[[#This Row],[Monthly Gross Salary]]</f>
        <v>867.56000000000006</v>
      </c>
      <c r="V176" s="23">
        <f>Table13[[#This Row],[Salary increase Amount]]+Table13[[#This Row],[Monthly Gross Salary]]</f>
        <v>87623.56</v>
      </c>
      <c r="W176" s="75">
        <v>0.2</v>
      </c>
      <c r="X176" s="6">
        <f>Table13[[#This Row],[New Gross Salary]]*Table13[[#This Row],[STI %]]</f>
        <v>17524.712</v>
      </c>
      <c r="Y176" s="96">
        <v>1</v>
      </c>
      <c r="Z176" s="6">
        <f>Table13[[#This Row],[Target STI]]*Table13[[#This Row],[Multiplier]]</f>
        <v>17524.712</v>
      </c>
      <c r="AA176" s="26">
        <v>0.32</v>
      </c>
      <c r="AB176" s="21" t="s">
        <v>6</v>
      </c>
      <c r="AC176" s="24">
        <f>(Table13[[#This Row],[New Gross Salary]]+Table13[[#This Row],[Final STI]])*Table13[[#This Row],[Tax %]]</f>
        <v>33647.447039999999</v>
      </c>
      <c r="AD176" s="24">
        <f>Table13[[#This Row],[New Gross Salary]]*5%</f>
        <v>4381.1779999999999</v>
      </c>
      <c r="AE176" s="21" cm="1">
        <f t="array" ref="AE176">_xlfn.XLOOKUP(AB176,{"A","B","C"},{500,800,1200})</f>
        <v>1200</v>
      </c>
      <c r="AF176" s="24">
        <f t="shared" si="5"/>
        <v>39228.625039999999</v>
      </c>
      <c r="AG176" s="27">
        <f>Table13[[#This Row],[New Gross Salary]]+Table13[[#This Row],[Final STI]]-Table13[[#This Row],[Total Deductions
(Tax+Pension+HP)]]</f>
        <v>65919.646959999998</v>
      </c>
    </row>
    <row r="177" spans="1:33" x14ac:dyDescent="0.2">
      <c r="A177" s="20">
        <v>1176</v>
      </c>
      <c r="B177" s="21" t="s">
        <v>188</v>
      </c>
      <c r="C177" s="21" t="s">
        <v>14</v>
      </c>
      <c r="D177" s="21" t="s">
        <v>553</v>
      </c>
      <c r="E177" s="22">
        <v>43831</v>
      </c>
      <c r="F177" s="21" t="s">
        <v>451</v>
      </c>
      <c r="G177" s="21" t="s">
        <v>526</v>
      </c>
      <c r="H177" s="21" t="s">
        <v>520</v>
      </c>
      <c r="I177" s="5" t="s">
        <v>661</v>
      </c>
      <c r="J177" s="21" t="s">
        <v>532</v>
      </c>
      <c r="K177" s="21" t="s">
        <v>540</v>
      </c>
      <c r="L177" s="23">
        <v>86756</v>
      </c>
      <c r="M177" s="23" t="s">
        <v>673</v>
      </c>
      <c r="N177" s="23">
        <v>58000</v>
      </c>
      <c r="O177" s="23">
        <v>75000</v>
      </c>
      <c r="P177" s="23">
        <v>87000</v>
      </c>
      <c r="Q177" s="24">
        <f>Table13[[#This Row],[Monthly Gross Salary]]/Table13[[#This Row],[Mid]]</f>
        <v>1.1567466666666666</v>
      </c>
      <c r="R177" s="23" t="str">
        <f t="shared" si="4"/>
        <v>High</v>
      </c>
      <c r="S177" s="23">
        <v>3</v>
      </c>
      <c r="T177" s="25">
        <f>INDEX('Merit Matrix'!$B$4:$F$8,
       MATCH($S177,'Merit Matrix'!$A$4:$A$8,0),
       MATCH(TRIM($R177),'Merit Matrix'!$B$3:$F$3,0))</f>
        <v>0.01</v>
      </c>
      <c r="U177" s="24">
        <f>Table13[[#This Row],[Salary increase %]]*Table13[[#This Row],[Monthly Gross Salary]]</f>
        <v>867.56000000000006</v>
      </c>
      <c r="V177" s="23">
        <f>Table13[[#This Row],[Salary increase Amount]]+Table13[[#This Row],[Monthly Gross Salary]]</f>
        <v>87623.56</v>
      </c>
      <c r="W177" s="75">
        <v>0.2</v>
      </c>
      <c r="X177" s="6">
        <f>Table13[[#This Row],[New Gross Salary]]*Table13[[#This Row],[STI %]]</f>
        <v>17524.712</v>
      </c>
      <c r="Y177" s="96">
        <v>1</v>
      </c>
      <c r="Z177" s="6">
        <f>Table13[[#This Row],[Target STI]]*Table13[[#This Row],[Multiplier]]</f>
        <v>17524.712</v>
      </c>
      <c r="AA177" s="26">
        <v>0.32</v>
      </c>
      <c r="AB177" s="21" t="s">
        <v>9</v>
      </c>
      <c r="AC177" s="24">
        <f>(Table13[[#This Row],[New Gross Salary]]+Table13[[#This Row],[Final STI]])*Table13[[#This Row],[Tax %]]</f>
        <v>33647.447039999999</v>
      </c>
      <c r="AD177" s="24">
        <f>Table13[[#This Row],[New Gross Salary]]*5%</f>
        <v>4381.1779999999999</v>
      </c>
      <c r="AE177" s="21" cm="1">
        <f t="array" ref="AE177">_xlfn.XLOOKUP(AB177,{"A","B","C"},{500,800,1200})</f>
        <v>800</v>
      </c>
      <c r="AF177" s="24">
        <f t="shared" si="5"/>
        <v>38828.625039999999</v>
      </c>
      <c r="AG177" s="27">
        <f>Table13[[#This Row],[New Gross Salary]]+Table13[[#This Row],[Final STI]]-Table13[[#This Row],[Total Deductions
(Tax+Pension+HP)]]</f>
        <v>66319.646959999998</v>
      </c>
    </row>
    <row r="178" spans="1:33" x14ac:dyDescent="0.2">
      <c r="A178" s="20">
        <v>1177</v>
      </c>
      <c r="B178" s="21" t="s">
        <v>189</v>
      </c>
      <c r="C178" s="21" t="s">
        <v>8</v>
      </c>
      <c r="D178" s="21" t="s">
        <v>544</v>
      </c>
      <c r="E178" s="22">
        <v>44562</v>
      </c>
      <c r="F178" s="21" t="s">
        <v>452</v>
      </c>
      <c r="G178" s="21" t="s">
        <v>526</v>
      </c>
      <c r="H178" s="21" t="s">
        <v>520</v>
      </c>
      <c r="I178" s="5" t="s">
        <v>661</v>
      </c>
      <c r="J178" s="21" t="s">
        <v>535</v>
      </c>
      <c r="K178" s="21" t="s">
        <v>538</v>
      </c>
      <c r="L178" s="23">
        <v>47000</v>
      </c>
      <c r="M178" s="23" t="s">
        <v>673</v>
      </c>
      <c r="N178" s="23">
        <v>38000</v>
      </c>
      <c r="O178" s="23">
        <v>50000</v>
      </c>
      <c r="P178" s="23">
        <v>56000</v>
      </c>
      <c r="Q178" s="24">
        <f>Table13[[#This Row],[Monthly Gross Salary]]/Table13[[#This Row],[Mid]]</f>
        <v>0.94</v>
      </c>
      <c r="R178" s="23" t="str">
        <f t="shared" si="4"/>
        <v>Below Mid</v>
      </c>
      <c r="S178" s="23">
        <v>3</v>
      </c>
      <c r="T178" s="25">
        <f>INDEX('Merit Matrix'!$B$4:$F$8,
       MATCH($S178,'Merit Matrix'!$A$4:$A$8,0),
       MATCH(TRIM($R178),'Merit Matrix'!$B$3:$F$3,0))</f>
        <v>0.03</v>
      </c>
      <c r="U178" s="24">
        <f>Table13[[#This Row],[Salary increase %]]*Table13[[#This Row],[Monthly Gross Salary]]</f>
        <v>1410</v>
      </c>
      <c r="V178" s="23">
        <f>Table13[[#This Row],[Salary increase Amount]]+Table13[[#This Row],[Monthly Gross Salary]]</f>
        <v>48410</v>
      </c>
      <c r="W178" s="75">
        <v>0.2</v>
      </c>
      <c r="X178" s="6">
        <f>Table13[[#This Row],[New Gross Salary]]*Table13[[#This Row],[STI %]]</f>
        <v>9682</v>
      </c>
      <c r="Y178" s="96">
        <v>1</v>
      </c>
      <c r="Z178" s="6">
        <f>Table13[[#This Row],[Target STI]]*Table13[[#This Row],[Multiplier]]</f>
        <v>9682</v>
      </c>
      <c r="AA178" s="26">
        <v>0.32</v>
      </c>
      <c r="AB178" s="21" t="s">
        <v>18</v>
      </c>
      <c r="AC178" s="24">
        <f>(Table13[[#This Row],[New Gross Salary]]+Table13[[#This Row],[Final STI]])*Table13[[#This Row],[Tax %]]</f>
        <v>18589.439999999999</v>
      </c>
      <c r="AD178" s="24">
        <f>Table13[[#This Row],[New Gross Salary]]*5%</f>
        <v>2420.5</v>
      </c>
      <c r="AE178" s="21" cm="1">
        <f t="array" ref="AE178">_xlfn.XLOOKUP(AB178,{"A","B","C"},{500,800,1200})</f>
        <v>500</v>
      </c>
      <c r="AF178" s="24">
        <f t="shared" si="5"/>
        <v>21509.94</v>
      </c>
      <c r="AG178" s="27">
        <f>Table13[[#This Row],[New Gross Salary]]+Table13[[#This Row],[Final STI]]-Table13[[#This Row],[Total Deductions
(Tax+Pension+HP)]]</f>
        <v>36582.06</v>
      </c>
    </row>
    <row r="179" spans="1:33" x14ac:dyDescent="0.2">
      <c r="A179" s="20">
        <v>1178</v>
      </c>
      <c r="B179" s="21" t="s">
        <v>190</v>
      </c>
      <c r="C179" s="21" t="s">
        <v>17</v>
      </c>
      <c r="D179" s="21" t="s">
        <v>560</v>
      </c>
      <c r="E179" s="22">
        <v>45292</v>
      </c>
      <c r="F179" s="21" t="s">
        <v>453</v>
      </c>
      <c r="G179" s="21" t="s">
        <v>526</v>
      </c>
      <c r="H179" s="21" t="s">
        <v>520</v>
      </c>
      <c r="I179" s="5" t="s">
        <v>661</v>
      </c>
      <c r="J179" s="21" t="s">
        <v>535</v>
      </c>
      <c r="K179" s="21" t="s">
        <v>538</v>
      </c>
      <c r="L179" s="23">
        <v>47000</v>
      </c>
      <c r="M179" s="23" t="s">
        <v>673</v>
      </c>
      <c r="N179" s="23">
        <v>38000</v>
      </c>
      <c r="O179" s="23">
        <v>50000</v>
      </c>
      <c r="P179" s="23">
        <v>56000</v>
      </c>
      <c r="Q179" s="24">
        <f>Table13[[#This Row],[Monthly Gross Salary]]/Table13[[#This Row],[Mid]]</f>
        <v>0.94</v>
      </c>
      <c r="R179" s="23" t="str">
        <f t="shared" si="4"/>
        <v>Below Mid</v>
      </c>
      <c r="S179" s="23">
        <v>3</v>
      </c>
      <c r="T179" s="25">
        <f>INDEX('Merit Matrix'!$B$4:$F$8,
       MATCH($S179,'Merit Matrix'!$A$4:$A$8,0),
       MATCH(TRIM($R179),'Merit Matrix'!$B$3:$F$3,0))</f>
        <v>0.03</v>
      </c>
      <c r="U179" s="24">
        <f>Table13[[#This Row],[Salary increase %]]*Table13[[#This Row],[Monthly Gross Salary]]</f>
        <v>1410</v>
      </c>
      <c r="V179" s="23">
        <f>Table13[[#This Row],[Salary increase Amount]]+Table13[[#This Row],[Monthly Gross Salary]]</f>
        <v>48410</v>
      </c>
      <c r="W179" s="75">
        <v>0.15</v>
      </c>
      <c r="X179" s="6">
        <f>Table13[[#This Row],[New Gross Salary]]*Table13[[#This Row],[STI %]]</f>
        <v>7261.5</v>
      </c>
      <c r="Y179" s="96">
        <v>1</v>
      </c>
      <c r="Z179" s="6">
        <f>Table13[[#This Row],[Target STI]]*Table13[[#This Row],[Multiplier]]</f>
        <v>7261.5</v>
      </c>
      <c r="AA179" s="26">
        <v>0.3</v>
      </c>
      <c r="AB179" s="21" t="s">
        <v>6</v>
      </c>
      <c r="AC179" s="24">
        <f>(Table13[[#This Row],[New Gross Salary]]+Table13[[#This Row],[Final STI]])*Table13[[#This Row],[Tax %]]</f>
        <v>16701.45</v>
      </c>
      <c r="AD179" s="24">
        <f>Table13[[#This Row],[New Gross Salary]]*5%</f>
        <v>2420.5</v>
      </c>
      <c r="AE179" s="21" cm="1">
        <f t="array" ref="AE179">_xlfn.XLOOKUP(AB179,{"A","B","C"},{500,800,1200})</f>
        <v>1200</v>
      </c>
      <c r="AF179" s="24">
        <f t="shared" si="5"/>
        <v>20321.95</v>
      </c>
      <c r="AG179" s="27">
        <f>Table13[[#This Row],[New Gross Salary]]+Table13[[#This Row],[Final STI]]-Table13[[#This Row],[Total Deductions
(Tax+Pension+HP)]]</f>
        <v>35349.550000000003</v>
      </c>
    </row>
    <row r="180" spans="1:33" x14ac:dyDescent="0.2">
      <c r="A180" s="20">
        <v>1179</v>
      </c>
      <c r="B180" s="21" t="s">
        <v>191</v>
      </c>
      <c r="C180" s="21" t="s">
        <v>17</v>
      </c>
      <c r="D180" s="21" t="s">
        <v>560</v>
      </c>
      <c r="E180" s="22">
        <v>45292</v>
      </c>
      <c r="F180" s="21" t="s">
        <v>454</v>
      </c>
      <c r="G180" s="21" t="s">
        <v>526</v>
      </c>
      <c r="H180" s="21" t="s">
        <v>520</v>
      </c>
      <c r="I180" s="5" t="s">
        <v>661</v>
      </c>
      <c r="J180" s="21" t="s">
        <v>535</v>
      </c>
      <c r="K180" s="21" t="s">
        <v>538</v>
      </c>
      <c r="L180" s="23">
        <v>47000</v>
      </c>
      <c r="M180" s="23" t="s">
        <v>673</v>
      </c>
      <c r="N180" s="23">
        <v>38000</v>
      </c>
      <c r="O180" s="23">
        <v>50000</v>
      </c>
      <c r="P180" s="23">
        <v>56000</v>
      </c>
      <c r="Q180" s="24">
        <f>Table13[[#This Row],[Monthly Gross Salary]]/Table13[[#This Row],[Mid]]</f>
        <v>0.94</v>
      </c>
      <c r="R180" s="23" t="str">
        <f t="shared" si="4"/>
        <v>Below Mid</v>
      </c>
      <c r="S180" s="23">
        <v>3</v>
      </c>
      <c r="T180" s="25">
        <f>INDEX('Merit Matrix'!$B$4:$F$8,
       MATCH($S180,'Merit Matrix'!$A$4:$A$8,0),
       MATCH(TRIM($R180),'Merit Matrix'!$B$3:$F$3,0))</f>
        <v>0.03</v>
      </c>
      <c r="U180" s="24">
        <f>Table13[[#This Row],[Salary increase %]]*Table13[[#This Row],[Monthly Gross Salary]]</f>
        <v>1410</v>
      </c>
      <c r="V180" s="23">
        <f>Table13[[#This Row],[Salary increase Amount]]+Table13[[#This Row],[Monthly Gross Salary]]</f>
        <v>48410</v>
      </c>
      <c r="W180" s="75">
        <v>0.15</v>
      </c>
      <c r="X180" s="6">
        <f>Table13[[#This Row],[New Gross Salary]]*Table13[[#This Row],[STI %]]</f>
        <v>7261.5</v>
      </c>
      <c r="Y180" s="96">
        <v>1</v>
      </c>
      <c r="Z180" s="6">
        <f>Table13[[#This Row],[Target STI]]*Table13[[#This Row],[Multiplier]]</f>
        <v>7261.5</v>
      </c>
      <c r="AA180" s="26">
        <v>0.28999999999999998</v>
      </c>
      <c r="AB180" s="21" t="s">
        <v>6</v>
      </c>
      <c r="AC180" s="24">
        <f>(Table13[[#This Row],[New Gross Salary]]+Table13[[#This Row],[Final STI]])*Table13[[#This Row],[Tax %]]</f>
        <v>16144.734999999999</v>
      </c>
      <c r="AD180" s="24">
        <f>Table13[[#This Row],[New Gross Salary]]*5%</f>
        <v>2420.5</v>
      </c>
      <c r="AE180" s="21" cm="1">
        <f t="array" ref="AE180">_xlfn.XLOOKUP(AB180,{"A","B","C"},{500,800,1200})</f>
        <v>1200</v>
      </c>
      <c r="AF180" s="24">
        <f t="shared" si="5"/>
        <v>19765.235000000001</v>
      </c>
      <c r="AG180" s="27">
        <f>Table13[[#This Row],[New Gross Salary]]+Table13[[#This Row],[Final STI]]-Table13[[#This Row],[Total Deductions
(Tax+Pension+HP)]]</f>
        <v>35906.264999999999</v>
      </c>
    </row>
    <row r="181" spans="1:33" x14ac:dyDescent="0.2">
      <c r="A181" s="20">
        <v>1180</v>
      </c>
      <c r="B181" s="21" t="s">
        <v>192</v>
      </c>
      <c r="C181" s="21" t="s">
        <v>8</v>
      </c>
      <c r="D181" s="21" t="s">
        <v>544</v>
      </c>
      <c r="E181" s="22">
        <v>44562</v>
      </c>
      <c r="F181" s="21" t="s">
        <v>455</v>
      </c>
      <c r="G181" s="21" t="s">
        <v>526</v>
      </c>
      <c r="H181" s="21" t="s">
        <v>520</v>
      </c>
      <c r="I181" s="5" t="s">
        <v>661</v>
      </c>
      <c r="J181" s="21" t="s">
        <v>535</v>
      </c>
      <c r="K181" s="21" t="s">
        <v>538</v>
      </c>
      <c r="L181" s="23">
        <v>42000</v>
      </c>
      <c r="M181" s="23" t="s">
        <v>673</v>
      </c>
      <c r="N181" s="23">
        <v>38000</v>
      </c>
      <c r="O181" s="23">
        <v>50000</v>
      </c>
      <c r="P181" s="23">
        <v>56000</v>
      </c>
      <c r="Q181" s="24">
        <f>Table13[[#This Row],[Monthly Gross Salary]]/Table13[[#This Row],[Mid]]</f>
        <v>0.84</v>
      </c>
      <c r="R181" s="23" t="str">
        <f t="shared" si="4"/>
        <v>Very Low</v>
      </c>
      <c r="S181" s="23">
        <v>3</v>
      </c>
      <c r="T181" s="25">
        <f>INDEX('Merit Matrix'!$B$4:$F$8,
       MATCH($S181,'Merit Matrix'!$A$4:$A$8,0),
       MATCH(TRIM($R181),'Merit Matrix'!$B$3:$F$3,0))</f>
        <v>0.04</v>
      </c>
      <c r="U181" s="24">
        <f>Table13[[#This Row],[Salary increase %]]*Table13[[#This Row],[Monthly Gross Salary]]</f>
        <v>1680</v>
      </c>
      <c r="V181" s="23">
        <f>Table13[[#This Row],[Salary increase Amount]]+Table13[[#This Row],[Monthly Gross Salary]]</f>
        <v>43680</v>
      </c>
      <c r="W181" s="75">
        <v>0.2</v>
      </c>
      <c r="X181" s="6">
        <f>Table13[[#This Row],[New Gross Salary]]*Table13[[#This Row],[STI %]]</f>
        <v>8736</v>
      </c>
      <c r="Y181" s="96">
        <v>1</v>
      </c>
      <c r="Z181" s="6">
        <f>Table13[[#This Row],[Target STI]]*Table13[[#This Row],[Multiplier]]</f>
        <v>8736</v>
      </c>
      <c r="AA181" s="26">
        <v>0.31</v>
      </c>
      <c r="AB181" s="21" t="s">
        <v>18</v>
      </c>
      <c r="AC181" s="24">
        <f>(Table13[[#This Row],[New Gross Salary]]+Table13[[#This Row],[Final STI]])*Table13[[#This Row],[Tax %]]</f>
        <v>16248.96</v>
      </c>
      <c r="AD181" s="24">
        <f>Table13[[#This Row],[New Gross Salary]]*5%</f>
        <v>2184</v>
      </c>
      <c r="AE181" s="21" cm="1">
        <f t="array" ref="AE181">_xlfn.XLOOKUP(AB181,{"A","B","C"},{500,800,1200})</f>
        <v>500</v>
      </c>
      <c r="AF181" s="24">
        <f t="shared" si="5"/>
        <v>18932.96</v>
      </c>
      <c r="AG181" s="27">
        <f>Table13[[#This Row],[New Gross Salary]]+Table13[[#This Row],[Final STI]]-Table13[[#This Row],[Total Deductions
(Tax+Pension+HP)]]</f>
        <v>33483.040000000001</v>
      </c>
    </row>
    <row r="182" spans="1:33" x14ac:dyDescent="0.2">
      <c r="A182" s="20">
        <v>1181</v>
      </c>
      <c r="B182" s="21" t="s">
        <v>193</v>
      </c>
      <c r="C182" s="21" t="s">
        <v>11</v>
      </c>
      <c r="D182" s="21" t="s">
        <v>531</v>
      </c>
      <c r="E182" s="22">
        <v>44562</v>
      </c>
      <c r="F182" s="21" t="s">
        <v>456</v>
      </c>
      <c r="G182" s="21" t="s">
        <v>526</v>
      </c>
      <c r="H182" s="21" t="s">
        <v>520</v>
      </c>
      <c r="I182" s="5" t="s">
        <v>661</v>
      </c>
      <c r="J182" s="21" t="s">
        <v>533</v>
      </c>
      <c r="K182" s="21" t="s">
        <v>537</v>
      </c>
      <c r="L182" s="23">
        <v>43261</v>
      </c>
      <c r="M182" s="23" t="s">
        <v>673</v>
      </c>
      <c r="N182" s="23">
        <v>35000</v>
      </c>
      <c r="O182" s="23">
        <v>40000</v>
      </c>
      <c r="P182" s="23">
        <v>45000</v>
      </c>
      <c r="Q182" s="24">
        <f>Table13[[#This Row],[Monthly Gross Salary]]/Table13[[#This Row],[Mid]]</f>
        <v>1.0815250000000001</v>
      </c>
      <c r="R182" s="23" t="str">
        <f t="shared" si="4"/>
        <v>Above Mid</v>
      </c>
      <c r="S182" s="23">
        <v>3</v>
      </c>
      <c r="T182" s="25">
        <f>INDEX('Merit Matrix'!$B$4:$F$8,
       MATCH($S182,'Merit Matrix'!$A$4:$A$8,0),
       MATCH(TRIM($R182),'Merit Matrix'!$B$3:$F$3,0))</f>
        <v>0.02</v>
      </c>
      <c r="U182" s="24">
        <f>Table13[[#This Row],[Salary increase %]]*Table13[[#This Row],[Monthly Gross Salary]]</f>
        <v>865.22</v>
      </c>
      <c r="V182" s="23">
        <f>Table13[[#This Row],[Salary increase Amount]]+Table13[[#This Row],[Monthly Gross Salary]]</f>
        <v>44126.22</v>
      </c>
      <c r="W182" s="75">
        <v>0.1</v>
      </c>
      <c r="X182" s="6">
        <f>Table13[[#This Row],[New Gross Salary]]*Table13[[#This Row],[STI %]]</f>
        <v>4412.6220000000003</v>
      </c>
      <c r="Y182" s="96">
        <v>1</v>
      </c>
      <c r="Z182" s="6">
        <f>Table13[[#This Row],[Target STI]]*Table13[[#This Row],[Multiplier]]</f>
        <v>4412.6220000000003</v>
      </c>
      <c r="AA182" s="26">
        <v>0.3</v>
      </c>
      <c r="AB182" s="21" t="s">
        <v>9</v>
      </c>
      <c r="AC182" s="24">
        <f>(Table13[[#This Row],[New Gross Salary]]+Table13[[#This Row],[Final STI]])*Table13[[#This Row],[Tax %]]</f>
        <v>14561.652600000001</v>
      </c>
      <c r="AD182" s="24">
        <f>Table13[[#This Row],[New Gross Salary]]*5%</f>
        <v>2206.3110000000001</v>
      </c>
      <c r="AE182" s="21" cm="1">
        <f t="array" ref="AE182">_xlfn.XLOOKUP(AB182,{"A","B","C"},{500,800,1200})</f>
        <v>800</v>
      </c>
      <c r="AF182" s="24">
        <f t="shared" si="5"/>
        <v>17567.963600000003</v>
      </c>
      <c r="AG182" s="27">
        <f>Table13[[#This Row],[New Gross Salary]]+Table13[[#This Row],[Final STI]]-Table13[[#This Row],[Total Deductions
(Tax+Pension+HP)]]</f>
        <v>30970.878400000001</v>
      </c>
    </row>
    <row r="183" spans="1:33" x14ac:dyDescent="0.2">
      <c r="A183" s="20">
        <v>1182</v>
      </c>
      <c r="B183" s="21" t="s">
        <v>194</v>
      </c>
      <c r="C183" s="21" t="s">
        <v>5</v>
      </c>
      <c r="D183" s="21" t="s">
        <v>550</v>
      </c>
      <c r="E183" s="22">
        <v>43831</v>
      </c>
      <c r="F183" s="21" t="s">
        <v>457</v>
      </c>
      <c r="G183" s="21" t="s">
        <v>526</v>
      </c>
      <c r="H183" s="21" t="s">
        <v>520</v>
      </c>
      <c r="I183" s="5" t="s">
        <v>661</v>
      </c>
      <c r="J183" s="21" t="s">
        <v>532</v>
      </c>
      <c r="K183" s="21" t="s">
        <v>540</v>
      </c>
      <c r="L183" s="23">
        <v>87703</v>
      </c>
      <c r="M183" s="23" t="s">
        <v>673</v>
      </c>
      <c r="N183" s="23">
        <v>58000</v>
      </c>
      <c r="O183" s="23">
        <v>75000</v>
      </c>
      <c r="P183" s="23">
        <v>87000</v>
      </c>
      <c r="Q183" s="24">
        <f>Table13[[#This Row],[Monthly Gross Salary]]/Table13[[#This Row],[Mid]]</f>
        <v>1.1693733333333334</v>
      </c>
      <c r="R183" s="23" t="str">
        <f t="shared" si="4"/>
        <v>High</v>
      </c>
      <c r="S183" s="23">
        <v>3</v>
      </c>
      <c r="T183" s="25">
        <f>INDEX('Merit Matrix'!$B$4:$F$8,
       MATCH($S183,'Merit Matrix'!$A$4:$A$8,0),
       MATCH(TRIM($R183),'Merit Matrix'!$B$3:$F$3,0))</f>
        <v>0.01</v>
      </c>
      <c r="U183" s="24">
        <f>Table13[[#This Row],[Salary increase %]]*Table13[[#This Row],[Monthly Gross Salary]]</f>
        <v>877.03</v>
      </c>
      <c r="V183" s="23">
        <f>Table13[[#This Row],[Salary increase Amount]]+Table13[[#This Row],[Monthly Gross Salary]]</f>
        <v>88580.03</v>
      </c>
      <c r="W183" s="75">
        <v>0.2</v>
      </c>
      <c r="X183" s="6">
        <f>Table13[[#This Row],[New Gross Salary]]*Table13[[#This Row],[STI %]]</f>
        <v>17716.006000000001</v>
      </c>
      <c r="Y183" s="96">
        <v>1</v>
      </c>
      <c r="Z183" s="6">
        <f>Table13[[#This Row],[Target STI]]*Table13[[#This Row],[Multiplier]]</f>
        <v>17716.006000000001</v>
      </c>
      <c r="AA183" s="26">
        <v>0.32</v>
      </c>
      <c r="AB183" s="21" t="s">
        <v>9</v>
      </c>
      <c r="AC183" s="24">
        <f>(Table13[[#This Row],[New Gross Salary]]+Table13[[#This Row],[Final STI]])*Table13[[#This Row],[Tax %]]</f>
        <v>34014.731520000001</v>
      </c>
      <c r="AD183" s="24">
        <f>Table13[[#This Row],[New Gross Salary]]*5%</f>
        <v>4429.0015000000003</v>
      </c>
      <c r="AE183" s="21" cm="1">
        <f t="array" ref="AE183">_xlfn.XLOOKUP(AB183,{"A","B","C"},{500,800,1200})</f>
        <v>800</v>
      </c>
      <c r="AF183" s="24">
        <f t="shared" si="5"/>
        <v>39243.73302</v>
      </c>
      <c r="AG183" s="27">
        <f>Table13[[#This Row],[New Gross Salary]]+Table13[[#This Row],[Final STI]]-Table13[[#This Row],[Total Deductions
(Tax+Pension+HP)]]</f>
        <v>67052.302979999993</v>
      </c>
    </row>
    <row r="184" spans="1:33" x14ac:dyDescent="0.2">
      <c r="A184" s="20">
        <v>1183</v>
      </c>
      <c r="B184" s="21" t="s">
        <v>195</v>
      </c>
      <c r="C184" s="21" t="s">
        <v>5</v>
      </c>
      <c r="D184" s="21" t="s">
        <v>550</v>
      </c>
      <c r="E184" s="22">
        <v>43831</v>
      </c>
      <c r="F184" s="21" t="s">
        <v>458</v>
      </c>
      <c r="G184" s="21" t="s">
        <v>526</v>
      </c>
      <c r="H184" s="21" t="s">
        <v>520</v>
      </c>
      <c r="I184" s="5" t="s">
        <v>661</v>
      </c>
      <c r="J184" s="21" t="s">
        <v>532</v>
      </c>
      <c r="K184" s="21" t="s">
        <v>540</v>
      </c>
      <c r="L184" s="23">
        <v>87703</v>
      </c>
      <c r="M184" s="23" t="s">
        <v>673</v>
      </c>
      <c r="N184" s="23">
        <v>58000</v>
      </c>
      <c r="O184" s="23">
        <v>75000</v>
      </c>
      <c r="P184" s="23">
        <v>87000</v>
      </c>
      <c r="Q184" s="24">
        <f>Table13[[#This Row],[Monthly Gross Salary]]/Table13[[#This Row],[Mid]]</f>
        <v>1.1693733333333334</v>
      </c>
      <c r="R184" s="23" t="str">
        <f t="shared" si="4"/>
        <v>High</v>
      </c>
      <c r="S184" s="23">
        <v>3</v>
      </c>
      <c r="T184" s="25">
        <f>INDEX('Merit Matrix'!$B$4:$F$8,
       MATCH($S184,'Merit Matrix'!$A$4:$A$8,0),
       MATCH(TRIM($R184),'Merit Matrix'!$B$3:$F$3,0))</f>
        <v>0.01</v>
      </c>
      <c r="U184" s="24">
        <f>Table13[[#This Row],[Salary increase %]]*Table13[[#This Row],[Monthly Gross Salary]]</f>
        <v>877.03</v>
      </c>
      <c r="V184" s="23">
        <f>Table13[[#This Row],[Salary increase Amount]]+Table13[[#This Row],[Monthly Gross Salary]]</f>
        <v>88580.03</v>
      </c>
      <c r="W184" s="75">
        <v>0.2</v>
      </c>
      <c r="X184" s="6">
        <f>Table13[[#This Row],[New Gross Salary]]*Table13[[#This Row],[STI %]]</f>
        <v>17716.006000000001</v>
      </c>
      <c r="Y184" s="96">
        <v>1</v>
      </c>
      <c r="Z184" s="6">
        <f>Table13[[#This Row],[Target STI]]*Table13[[#This Row],[Multiplier]]</f>
        <v>17716.006000000001</v>
      </c>
      <c r="AA184" s="26">
        <v>0.32</v>
      </c>
      <c r="AB184" s="21" t="s">
        <v>18</v>
      </c>
      <c r="AC184" s="24">
        <f>(Table13[[#This Row],[New Gross Salary]]+Table13[[#This Row],[Final STI]])*Table13[[#This Row],[Tax %]]</f>
        <v>34014.731520000001</v>
      </c>
      <c r="AD184" s="24">
        <f>Table13[[#This Row],[New Gross Salary]]*5%</f>
        <v>4429.0015000000003</v>
      </c>
      <c r="AE184" s="21" cm="1">
        <f t="array" ref="AE184">_xlfn.XLOOKUP(AB184,{"A","B","C"},{500,800,1200})</f>
        <v>500</v>
      </c>
      <c r="AF184" s="24">
        <f t="shared" si="5"/>
        <v>38943.73302</v>
      </c>
      <c r="AG184" s="27">
        <f>Table13[[#This Row],[New Gross Salary]]+Table13[[#This Row],[Final STI]]-Table13[[#This Row],[Total Deductions
(Tax+Pension+HP)]]</f>
        <v>67352.302979999993</v>
      </c>
    </row>
    <row r="185" spans="1:33" x14ac:dyDescent="0.2">
      <c r="A185" s="20">
        <v>1184</v>
      </c>
      <c r="B185" s="21" t="s">
        <v>196</v>
      </c>
      <c r="C185" s="21" t="s">
        <v>42</v>
      </c>
      <c r="D185" s="21" t="s">
        <v>556</v>
      </c>
      <c r="E185" s="22">
        <v>43831</v>
      </c>
      <c r="F185" s="21" t="s">
        <v>459</v>
      </c>
      <c r="G185" s="21" t="s">
        <v>526</v>
      </c>
      <c r="H185" s="21" t="s">
        <v>520</v>
      </c>
      <c r="I185" s="5" t="s">
        <v>661</v>
      </c>
      <c r="J185" s="21" t="s">
        <v>532</v>
      </c>
      <c r="K185" s="21" t="s">
        <v>539</v>
      </c>
      <c r="L185" s="23">
        <v>71263</v>
      </c>
      <c r="M185" s="23" t="s">
        <v>673</v>
      </c>
      <c r="N185" s="23">
        <v>55000</v>
      </c>
      <c r="O185" s="23">
        <v>75000</v>
      </c>
      <c r="P185" s="23">
        <v>85000</v>
      </c>
      <c r="Q185" s="24">
        <f>Table13[[#This Row],[Monthly Gross Salary]]/Table13[[#This Row],[Mid]]</f>
        <v>0.95017333333333331</v>
      </c>
      <c r="R185" s="23" t="str">
        <f t="shared" si="4"/>
        <v>Around Mid</v>
      </c>
      <c r="S185" s="23">
        <v>3</v>
      </c>
      <c r="T185" s="25">
        <f>INDEX('Merit Matrix'!$B$4:$F$8,
       MATCH($S185,'Merit Matrix'!$A$4:$A$8,0),
       MATCH(TRIM($R185),'Merit Matrix'!$B$3:$F$3,0))</f>
        <v>2.5000000000000001E-2</v>
      </c>
      <c r="U185" s="24">
        <f>Table13[[#This Row],[Salary increase %]]*Table13[[#This Row],[Monthly Gross Salary]]</f>
        <v>1781.575</v>
      </c>
      <c r="V185" s="23">
        <f>Table13[[#This Row],[Salary increase Amount]]+Table13[[#This Row],[Monthly Gross Salary]]</f>
        <v>73044.574999999997</v>
      </c>
      <c r="W185" s="75">
        <v>0.2</v>
      </c>
      <c r="X185" s="6">
        <f>Table13[[#This Row],[New Gross Salary]]*Table13[[#This Row],[STI %]]</f>
        <v>14608.915000000001</v>
      </c>
      <c r="Y185" s="96">
        <v>1</v>
      </c>
      <c r="Z185" s="6">
        <f>Table13[[#This Row],[Target STI]]*Table13[[#This Row],[Multiplier]]</f>
        <v>14608.915000000001</v>
      </c>
      <c r="AA185" s="26">
        <v>0.3</v>
      </c>
      <c r="AB185" s="21" t="s">
        <v>9</v>
      </c>
      <c r="AC185" s="24">
        <f>(Table13[[#This Row],[New Gross Salary]]+Table13[[#This Row],[Final STI]])*Table13[[#This Row],[Tax %]]</f>
        <v>26296.046999999995</v>
      </c>
      <c r="AD185" s="24">
        <f>Table13[[#This Row],[New Gross Salary]]*5%</f>
        <v>3652.2287500000002</v>
      </c>
      <c r="AE185" s="21" cm="1">
        <f t="array" ref="AE185">_xlfn.XLOOKUP(AB185,{"A","B","C"},{500,800,1200})</f>
        <v>800</v>
      </c>
      <c r="AF185" s="24">
        <f t="shared" si="5"/>
        <v>30748.275749999993</v>
      </c>
      <c r="AG185" s="27">
        <f>Table13[[#This Row],[New Gross Salary]]+Table13[[#This Row],[Final STI]]-Table13[[#This Row],[Total Deductions
(Tax+Pension+HP)]]</f>
        <v>56905.214249999997</v>
      </c>
    </row>
    <row r="186" spans="1:33" x14ac:dyDescent="0.2">
      <c r="A186" s="20">
        <v>1185</v>
      </c>
      <c r="B186" s="21" t="s">
        <v>197</v>
      </c>
      <c r="C186" s="21" t="s">
        <v>42</v>
      </c>
      <c r="D186" s="21" t="s">
        <v>556</v>
      </c>
      <c r="E186" s="22">
        <v>43831</v>
      </c>
      <c r="F186" s="21" t="s">
        <v>460</v>
      </c>
      <c r="G186" s="21" t="s">
        <v>526</v>
      </c>
      <c r="H186" s="21" t="s">
        <v>520</v>
      </c>
      <c r="I186" s="5" t="s">
        <v>661</v>
      </c>
      <c r="J186" s="21" t="s">
        <v>532</v>
      </c>
      <c r="K186" s="21" t="s">
        <v>539</v>
      </c>
      <c r="L186" s="23">
        <v>71263</v>
      </c>
      <c r="M186" s="23" t="s">
        <v>673</v>
      </c>
      <c r="N186" s="23">
        <v>55000</v>
      </c>
      <c r="O186" s="23">
        <v>75000</v>
      </c>
      <c r="P186" s="23">
        <v>85000</v>
      </c>
      <c r="Q186" s="24">
        <f>Table13[[#This Row],[Monthly Gross Salary]]/Table13[[#This Row],[Mid]]</f>
        <v>0.95017333333333331</v>
      </c>
      <c r="R186" s="23" t="str">
        <f t="shared" si="4"/>
        <v>Around Mid</v>
      </c>
      <c r="S186" s="23">
        <v>3</v>
      </c>
      <c r="T186" s="25">
        <f>INDEX('Merit Matrix'!$B$4:$F$8,
       MATCH($S186,'Merit Matrix'!$A$4:$A$8,0),
       MATCH(TRIM($R186),'Merit Matrix'!$B$3:$F$3,0))</f>
        <v>2.5000000000000001E-2</v>
      </c>
      <c r="U186" s="24">
        <f>Table13[[#This Row],[Salary increase %]]*Table13[[#This Row],[Monthly Gross Salary]]</f>
        <v>1781.575</v>
      </c>
      <c r="V186" s="23">
        <f>Table13[[#This Row],[Salary increase Amount]]+Table13[[#This Row],[Monthly Gross Salary]]</f>
        <v>73044.574999999997</v>
      </c>
      <c r="W186" s="75">
        <v>0.2</v>
      </c>
      <c r="X186" s="6">
        <f>Table13[[#This Row],[New Gross Salary]]*Table13[[#This Row],[STI %]]</f>
        <v>14608.915000000001</v>
      </c>
      <c r="Y186" s="96">
        <v>1</v>
      </c>
      <c r="Z186" s="6">
        <f>Table13[[#This Row],[Target STI]]*Table13[[#This Row],[Multiplier]]</f>
        <v>14608.915000000001</v>
      </c>
      <c r="AA186" s="26">
        <v>0.32</v>
      </c>
      <c r="AB186" s="21" t="s">
        <v>18</v>
      </c>
      <c r="AC186" s="24">
        <f>(Table13[[#This Row],[New Gross Salary]]+Table13[[#This Row],[Final STI]])*Table13[[#This Row],[Tax %]]</f>
        <v>28049.116799999996</v>
      </c>
      <c r="AD186" s="24">
        <f>Table13[[#This Row],[New Gross Salary]]*5%</f>
        <v>3652.2287500000002</v>
      </c>
      <c r="AE186" s="21" cm="1">
        <f t="array" ref="AE186">_xlfn.XLOOKUP(AB186,{"A","B","C"},{500,800,1200})</f>
        <v>500</v>
      </c>
      <c r="AF186" s="24">
        <f t="shared" si="5"/>
        <v>32201.345549999998</v>
      </c>
      <c r="AG186" s="27">
        <f>Table13[[#This Row],[New Gross Salary]]+Table13[[#This Row],[Final STI]]-Table13[[#This Row],[Total Deductions
(Tax+Pension+HP)]]</f>
        <v>55452.144449999993</v>
      </c>
    </row>
    <row r="187" spans="1:33" x14ac:dyDescent="0.2">
      <c r="A187" s="20">
        <v>1186</v>
      </c>
      <c r="B187" s="21" t="s">
        <v>198</v>
      </c>
      <c r="C187" s="21" t="s">
        <v>17</v>
      </c>
      <c r="D187" s="21" t="s">
        <v>560</v>
      </c>
      <c r="E187" s="22">
        <v>45292</v>
      </c>
      <c r="F187" s="21" t="s">
        <v>461</v>
      </c>
      <c r="G187" s="21" t="s">
        <v>526</v>
      </c>
      <c r="H187" s="21" t="s">
        <v>520</v>
      </c>
      <c r="I187" s="5" t="s">
        <v>661</v>
      </c>
      <c r="J187" s="21" t="s">
        <v>535</v>
      </c>
      <c r="K187" s="21" t="s">
        <v>538</v>
      </c>
      <c r="L187" s="23">
        <v>42000</v>
      </c>
      <c r="M187" s="23" t="s">
        <v>673</v>
      </c>
      <c r="N187" s="23">
        <v>38000</v>
      </c>
      <c r="O187" s="23">
        <v>50000</v>
      </c>
      <c r="P187" s="23">
        <v>56000</v>
      </c>
      <c r="Q187" s="24">
        <f>Table13[[#This Row],[Monthly Gross Salary]]/Table13[[#This Row],[Mid]]</f>
        <v>0.84</v>
      </c>
      <c r="R187" s="23" t="str">
        <f t="shared" si="4"/>
        <v>Very Low</v>
      </c>
      <c r="S187" s="23">
        <v>3</v>
      </c>
      <c r="T187" s="25">
        <f>INDEX('Merit Matrix'!$B$4:$F$8,
       MATCH($S187,'Merit Matrix'!$A$4:$A$8,0),
       MATCH(TRIM($R187),'Merit Matrix'!$B$3:$F$3,0))</f>
        <v>0.04</v>
      </c>
      <c r="U187" s="24">
        <f>Table13[[#This Row],[Salary increase %]]*Table13[[#This Row],[Monthly Gross Salary]]</f>
        <v>1680</v>
      </c>
      <c r="V187" s="23">
        <f>Table13[[#This Row],[Salary increase Amount]]+Table13[[#This Row],[Monthly Gross Salary]]</f>
        <v>43680</v>
      </c>
      <c r="W187" s="75">
        <v>0.15</v>
      </c>
      <c r="X187" s="6">
        <f>Table13[[#This Row],[New Gross Salary]]*Table13[[#This Row],[STI %]]</f>
        <v>6552</v>
      </c>
      <c r="Y187" s="96">
        <v>1</v>
      </c>
      <c r="Z187" s="6">
        <f>Table13[[#This Row],[Target STI]]*Table13[[#This Row],[Multiplier]]</f>
        <v>6552</v>
      </c>
      <c r="AA187" s="26">
        <v>0.3</v>
      </c>
      <c r="AB187" s="21" t="s">
        <v>6</v>
      </c>
      <c r="AC187" s="24">
        <f>(Table13[[#This Row],[New Gross Salary]]+Table13[[#This Row],[Final STI]])*Table13[[#This Row],[Tax %]]</f>
        <v>15069.599999999999</v>
      </c>
      <c r="AD187" s="24">
        <f>Table13[[#This Row],[New Gross Salary]]*5%</f>
        <v>2184</v>
      </c>
      <c r="AE187" s="21" cm="1">
        <f t="array" ref="AE187">_xlfn.XLOOKUP(AB187,{"A","B","C"},{500,800,1200})</f>
        <v>1200</v>
      </c>
      <c r="AF187" s="24">
        <f t="shared" si="5"/>
        <v>18453.599999999999</v>
      </c>
      <c r="AG187" s="27">
        <f>Table13[[#This Row],[New Gross Salary]]+Table13[[#This Row],[Final STI]]-Table13[[#This Row],[Total Deductions
(Tax+Pension+HP)]]</f>
        <v>31778.400000000001</v>
      </c>
    </row>
    <row r="188" spans="1:33" x14ac:dyDescent="0.2">
      <c r="A188" s="20">
        <v>1187</v>
      </c>
      <c r="B188" s="21" t="s">
        <v>199</v>
      </c>
      <c r="C188" s="21" t="s">
        <v>17</v>
      </c>
      <c r="D188" s="21" t="s">
        <v>560</v>
      </c>
      <c r="E188" s="22">
        <v>45292</v>
      </c>
      <c r="F188" s="21" t="s">
        <v>462</v>
      </c>
      <c r="G188" s="21" t="s">
        <v>526</v>
      </c>
      <c r="H188" s="21" t="s">
        <v>520</v>
      </c>
      <c r="I188" s="5" t="s">
        <v>661</v>
      </c>
      <c r="J188" s="21" t="s">
        <v>535</v>
      </c>
      <c r="K188" s="21" t="s">
        <v>538</v>
      </c>
      <c r="L188" s="23">
        <v>42000</v>
      </c>
      <c r="M188" s="23" t="s">
        <v>673</v>
      </c>
      <c r="N188" s="23">
        <v>38000</v>
      </c>
      <c r="O188" s="23">
        <v>50000</v>
      </c>
      <c r="P188" s="23">
        <v>56000</v>
      </c>
      <c r="Q188" s="24">
        <f>Table13[[#This Row],[Monthly Gross Salary]]/Table13[[#This Row],[Mid]]</f>
        <v>0.84</v>
      </c>
      <c r="R188" s="23" t="str">
        <f t="shared" si="4"/>
        <v>Very Low</v>
      </c>
      <c r="S188" s="23">
        <v>3</v>
      </c>
      <c r="T188" s="25">
        <f>INDEX('Merit Matrix'!$B$4:$F$8,
       MATCH($S188,'Merit Matrix'!$A$4:$A$8,0),
       MATCH(TRIM($R188),'Merit Matrix'!$B$3:$F$3,0))</f>
        <v>0.04</v>
      </c>
      <c r="U188" s="24">
        <f>Table13[[#This Row],[Salary increase %]]*Table13[[#This Row],[Monthly Gross Salary]]</f>
        <v>1680</v>
      </c>
      <c r="V188" s="23">
        <f>Table13[[#This Row],[Salary increase Amount]]+Table13[[#This Row],[Monthly Gross Salary]]</f>
        <v>43680</v>
      </c>
      <c r="W188" s="75">
        <v>0.15</v>
      </c>
      <c r="X188" s="6">
        <f>Table13[[#This Row],[New Gross Salary]]*Table13[[#This Row],[STI %]]</f>
        <v>6552</v>
      </c>
      <c r="Y188" s="96">
        <v>1</v>
      </c>
      <c r="Z188" s="6">
        <f>Table13[[#This Row],[Target STI]]*Table13[[#This Row],[Multiplier]]</f>
        <v>6552</v>
      </c>
      <c r="AA188" s="26">
        <v>0.27</v>
      </c>
      <c r="AB188" s="21" t="s">
        <v>9</v>
      </c>
      <c r="AC188" s="24">
        <f>(Table13[[#This Row],[New Gross Salary]]+Table13[[#This Row],[Final STI]])*Table13[[#This Row],[Tax %]]</f>
        <v>13562.640000000001</v>
      </c>
      <c r="AD188" s="24">
        <f>Table13[[#This Row],[New Gross Salary]]*5%</f>
        <v>2184</v>
      </c>
      <c r="AE188" s="21" cm="1">
        <f t="array" ref="AE188">_xlfn.XLOOKUP(AB188,{"A","B","C"},{500,800,1200})</f>
        <v>800</v>
      </c>
      <c r="AF188" s="24">
        <f t="shared" si="5"/>
        <v>16546.64</v>
      </c>
      <c r="AG188" s="27">
        <f>Table13[[#This Row],[New Gross Salary]]+Table13[[#This Row],[Final STI]]-Table13[[#This Row],[Total Deductions
(Tax+Pension+HP)]]</f>
        <v>33685.360000000001</v>
      </c>
    </row>
    <row r="189" spans="1:33" x14ac:dyDescent="0.2">
      <c r="A189" s="20">
        <v>1188</v>
      </c>
      <c r="B189" s="21" t="s">
        <v>200</v>
      </c>
      <c r="C189" s="21" t="s">
        <v>11</v>
      </c>
      <c r="D189" s="21" t="s">
        <v>531</v>
      </c>
      <c r="E189" s="22">
        <v>44562</v>
      </c>
      <c r="F189" s="21" t="s">
        <v>463</v>
      </c>
      <c r="G189" s="21" t="s">
        <v>526</v>
      </c>
      <c r="H189" s="21" t="s">
        <v>520</v>
      </c>
      <c r="I189" s="5" t="s">
        <v>661</v>
      </c>
      <c r="J189" s="21" t="s">
        <v>533</v>
      </c>
      <c r="K189" s="21" t="s">
        <v>537</v>
      </c>
      <c r="L189" s="23">
        <v>43261</v>
      </c>
      <c r="M189" s="23" t="s">
        <v>673</v>
      </c>
      <c r="N189" s="23">
        <v>35000</v>
      </c>
      <c r="O189" s="23">
        <v>40000</v>
      </c>
      <c r="P189" s="23">
        <v>45000</v>
      </c>
      <c r="Q189" s="24">
        <f>Table13[[#This Row],[Monthly Gross Salary]]/Table13[[#This Row],[Mid]]</f>
        <v>1.0815250000000001</v>
      </c>
      <c r="R189" s="23" t="str">
        <f t="shared" si="4"/>
        <v>Above Mid</v>
      </c>
      <c r="S189" s="23">
        <v>3</v>
      </c>
      <c r="T189" s="25">
        <f>INDEX('Merit Matrix'!$B$4:$F$8,
       MATCH($S189,'Merit Matrix'!$A$4:$A$8,0),
       MATCH(TRIM($R189),'Merit Matrix'!$B$3:$F$3,0))</f>
        <v>0.02</v>
      </c>
      <c r="U189" s="24">
        <f>Table13[[#This Row],[Salary increase %]]*Table13[[#This Row],[Monthly Gross Salary]]</f>
        <v>865.22</v>
      </c>
      <c r="V189" s="23">
        <f>Table13[[#This Row],[Salary increase Amount]]+Table13[[#This Row],[Monthly Gross Salary]]</f>
        <v>44126.22</v>
      </c>
      <c r="W189" s="75">
        <v>0.1</v>
      </c>
      <c r="X189" s="6">
        <f>Table13[[#This Row],[New Gross Salary]]*Table13[[#This Row],[STI %]]</f>
        <v>4412.6220000000003</v>
      </c>
      <c r="Y189" s="96">
        <v>1</v>
      </c>
      <c r="Z189" s="6">
        <f>Table13[[#This Row],[Target STI]]*Table13[[#This Row],[Multiplier]]</f>
        <v>4412.6220000000003</v>
      </c>
      <c r="AA189" s="26">
        <v>0.27</v>
      </c>
      <c r="AB189" s="21" t="s">
        <v>6</v>
      </c>
      <c r="AC189" s="24">
        <f>(Table13[[#This Row],[New Gross Salary]]+Table13[[#This Row],[Final STI]])*Table13[[#This Row],[Tax %]]</f>
        <v>13105.487340000001</v>
      </c>
      <c r="AD189" s="24">
        <f>Table13[[#This Row],[New Gross Salary]]*5%</f>
        <v>2206.3110000000001</v>
      </c>
      <c r="AE189" s="21" cm="1">
        <f t="array" ref="AE189">_xlfn.XLOOKUP(AB189,{"A","B","C"},{500,800,1200})</f>
        <v>1200</v>
      </c>
      <c r="AF189" s="24">
        <f t="shared" si="5"/>
        <v>16511.798340000001</v>
      </c>
      <c r="AG189" s="27">
        <f>Table13[[#This Row],[New Gross Salary]]+Table13[[#This Row],[Final STI]]-Table13[[#This Row],[Total Deductions
(Tax+Pension+HP)]]</f>
        <v>32027.043660000003</v>
      </c>
    </row>
    <row r="190" spans="1:33" x14ac:dyDescent="0.2">
      <c r="A190" s="20">
        <v>1189</v>
      </c>
      <c r="B190" s="21" t="s">
        <v>201</v>
      </c>
      <c r="C190" s="21" t="s">
        <v>42</v>
      </c>
      <c r="D190" s="21" t="s">
        <v>556</v>
      </c>
      <c r="E190" s="22">
        <v>43831</v>
      </c>
      <c r="F190" s="21" t="s">
        <v>464</v>
      </c>
      <c r="G190" s="21" t="s">
        <v>526</v>
      </c>
      <c r="H190" s="21" t="s">
        <v>520</v>
      </c>
      <c r="I190" s="5" t="s">
        <v>661</v>
      </c>
      <c r="J190" s="21" t="s">
        <v>532</v>
      </c>
      <c r="K190" s="21" t="s">
        <v>539</v>
      </c>
      <c r="L190" s="23">
        <v>71263</v>
      </c>
      <c r="M190" s="23" t="s">
        <v>673</v>
      </c>
      <c r="N190" s="23">
        <v>55000</v>
      </c>
      <c r="O190" s="23">
        <v>75000</v>
      </c>
      <c r="P190" s="23">
        <v>85000</v>
      </c>
      <c r="Q190" s="24">
        <f>Table13[[#This Row],[Monthly Gross Salary]]/Table13[[#This Row],[Mid]]</f>
        <v>0.95017333333333331</v>
      </c>
      <c r="R190" s="23" t="str">
        <f t="shared" si="4"/>
        <v>Around Mid</v>
      </c>
      <c r="S190" s="23">
        <v>3</v>
      </c>
      <c r="T190" s="25">
        <f>INDEX('Merit Matrix'!$B$4:$F$8,
       MATCH($S190,'Merit Matrix'!$A$4:$A$8,0),
       MATCH(TRIM($R190),'Merit Matrix'!$B$3:$F$3,0))</f>
        <v>2.5000000000000001E-2</v>
      </c>
      <c r="U190" s="24">
        <f>Table13[[#This Row],[Salary increase %]]*Table13[[#This Row],[Monthly Gross Salary]]</f>
        <v>1781.575</v>
      </c>
      <c r="V190" s="23">
        <f>Table13[[#This Row],[Salary increase Amount]]+Table13[[#This Row],[Monthly Gross Salary]]</f>
        <v>73044.574999999997</v>
      </c>
      <c r="W190" s="75">
        <v>0.2</v>
      </c>
      <c r="X190" s="6">
        <f>Table13[[#This Row],[New Gross Salary]]*Table13[[#This Row],[STI %]]</f>
        <v>14608.915000000001</v>
      </c>
      <c r="Y190" s="96">
        <v>1</v>
      </c>
      <c r="Z190" s="6">
        <f>Table13[[#This Row],[Target STI]]*Table13[[#This Row],[Multiplier]]</f>
        <v>14608.915000000001</v>
      </c>
      <c r="AA190" s="26">
        <v>0.31</v>
      </c>
      <c r="AB190" s="21" t="s">
        <v>18</v>
      </c>
      <c r="AC190" s="24">
        <f>(Table13[[#This Row],[New Gross Salary]]+Table13[[#This Row],[Final STI]])*Table13[[#This Row],[Tax %]]</f>
        <v>27172.581899999997</v>
      </c>
      <c r="AD190" s="24">
        <f>Table13[[#This Row],[New Gross Salary]]*5%</f>
        <v>3652.2287500000002</v>
      </c>
      <c r="AE190" s="21" cm="1">
        <f t="array" ref="AE190">_xlfn.XLOOKUP(AB190,{"A","B","C"},{500,800,1200})</f>
        <v>500</v>
      </c>
      <c r="AF190" s="24">
        <f t="shared" si="5"/>
        <v>31324.810649999999</v>
      </c>
      <c r="AG190" s="27">
        <f>Table13[[#This Row],[New Gross Salary]]+Table13[[#This Row],[Final STI]]-Table13[[#This Row],[Total Deductions
(Tax+Pension+HP)]]</f>
        <v>56328.679349999991</v>
      </c>
    </row>
    <row r="191" spans="1:33" x14ac:dyDescent="0.2">
      <c r="A191" s="20">
        <v>1190</v>
      </c>
      <c r="B191" s="21" t="s">
        <v>202</v>
      </c>
      <c r="C191" s="21" t="s">
        <v>17</v>
      </c>
      <c r="D191" s="21" t="s">
        <v>560</v>
      </c>
      <c r="E191" s="22">
        <v>45292</v>
      </c>
      <c r="F191" s="21" t="s">
        <v>465</v>
      </c>
      <c r="G191" s="21" t="s">
        <v>526</v>
      </c>
      <c r="H191" s="21" t="s">
        <v>520</v>
      </c>
      <c r="I191" s="5" t="s">
        <v>661</v>
      </c>
      <c r="J191" s="21" t="s">
        <v>535</v>
      </c>
      <c r="K191" s="21" t="s">
        <v>538</v>
      </c>
      <c r="L191" s="23">
        <v>42000</v>
      </c>
      <c r="M191" s="23" t="s">
        <v>673</v>
      </c>
      <c r="N191" s="23">
        <v>38000</v>
      </c>
      <c r="O191" s="23">
        <v>50000</v>
      </c>
      <c r="P191" s="23">
        <v>56000</v>
      </c>
      <c r="Q191" s="24">
        <f>Table13[[#This Row],[Monthly Gross Salary]]/Table13[[#This Row],[Mid]]</f>
        <v>0.84</v>
      </c>
      <c r="R191" s="23" t="str">
        <f t="shared" si="4"/>
        <v>Very Low</v>
      </c>
      <c r="S191" s="23">
        <v>3</v>
      </c>
      <c r="T191" s="25">
        <f>INDEX('Merit Matrix'!$B$4:$F$8,
       MATCH($S191,'Merit Matrix'!$A$4:$A$8,0),
       MATCH(TRIM($R191),'Merit Matrix'!$B$3:$F$3,0))</f>
        <v>0.04</v>
      </c>
      <c r="U191" s="24">
        <f>Table13[[#This Row],[Salary increase %]]*Table13[[#This Row],[Monthly Gross Salary]]</f>
        <v>1680</v>
      </c>
      <c r="V191" s="23">
        <f>Table13[[#This Row],[Salary increase Amount]]+Table13[[#This Row],[Monthly Gross Salary]]</f>
        <v>43680</v>
      </c>
      <c r="W191" s="75">
        <v>0.15</v>
      </c>
      <c r="X191" s="6">
        <f>Table13[[#This Row],[New Gross Salary]]*Table13[[#This Row],[STI %]]</f>
        <v>6552</v>
      </c>
      <c r="Y191" s="96">
        <v>1</v>
      </c>
      <c r="Z191" s="6">
        <f>Table13[[#This Row],[Target STI]]*Table13[[#This Row],[Multiplier]]</f>
        <v>6552</v>
      </c>
      <c r="AA191" s="26">
        <v>0.27</v>
      </c>
      <c r="AB191" s="21" t="s">
        <v>18</v>
      </c>
      <c r="AC191" s="24">
        <f>(Table13[[#This Row],[New Gross Salary]]+Table13[[#This Row],[Final STI]])*Table13[[#This Row],[Tax %]]</f>
        <v>13562.640000000001</v>
      </c>
      <c r="AD191" s="24">
        <f>Table13[[#This Row],[New Gross Salary]]*5%</f>
        <v>2184</v>
      </c>
      <c r="AE191" s="21" cm="1">
        <f t="array" ref="AE191">_xlfn.XLOOKUP(AB191,{"A","B","C"},{500,800,1200})</f>
        <v>500</v>
      </c>
      <c r="AF191" s="24">
        <f t="shared" si="5"/>
        <v>16246.640000000001</v>
      </c>
      <c r="AG191" s="27">
        <f>Table13[[#This Row],[New Gross Salary]]+Table13[[#This Row],[Final STI]]-Table13[[#This Row],[Total Deductions
(Tax+Pension+HP)]]</f>
        <v>33985.360000000001</v>
      </c>
    </row>
    <row r="192" spans="1:33" x14ac:dyDescent="0.2">
      <c r="A192" s="20">
        <v>1191</v>
      </c>
      <c r="B192" s="21" t="s">
        <v>203</v>
      </c>
      <c r="C192" s="21" t="s">
        <v>17</v>
      </c>
      <c r="D192" s="21" t="s">
        <v>560</v>
      </c>
      <c r="E192" s="22">
        <v>45292</v>
      </c>
      <c r="F192" s="21" t="s">
        <v>466</v>
      </c>
      <c r="G192" s="21" t="s">
        <v>526</v>
      </c>
      <c r="H192" s="21" t="s">
        <v>520</v>
      </c>
      <c r="I192" s="5" t="s">
        <v>661</v>
      </c>
      <c r="J192" s="21" t="s">
        <v>535</v>
      </c>
      <c r="K192" s="21" t="s">
        <v>538</v>
      </c>
      <c r="L192" s="23">
        <v>42000</v>
      </c>
      <c r="M192" s="23" t="s">
        <v>673</v>
      </c>
      <c r="N192" s="23">
        <v>38000</v>
      </c>
      <c r="O192" s="23">
        <v>50000</v>
      </c>
      <c r="P192" s="23">
        <v>56000</v>
      </c>
      <c r="Q192" s="24">
        <f>Table13[[#This Row],[Monthly Gross Salary]]/Table13[[#This Row],[Mid]]</f>
        <v>0.84</v>
      </c>
      <c r="R192" s="23" t="str">
        <f t="shared" si="4"/>
        <v>Very Low</v>
      </c>
      <c r="S192" s="23">
        <v>3</v>
      </c>
      <c r="T192" s="25">
        <f>INDEX('Merit Matrix'!$B$4:$F$8,
       MATCH($S192,'Merit Matrix'!$A$4:$A$8,0),
       MATCH(TRIM($R192),'Merit Matrix'!$B$3:$F$3,0))</f>
        <v>0.04</v>
      </c>
      <c r="U192" s="24">
        <f>Table13[[#This Row],[Salary increase %]]*Table13[[#This Row],[Monthly Gross Salary]]</f>
        <v>1680</v>
      </c>
      <c r="V192" s="23">
        <f>Table13[[#This Row],[Salary increase Amount]]+Table13[[#This Row],[Monthly Gross Salary]]</f>
        <v>43680</v>
      </c>
      <c r="W192" s="75">
        <v>0.15</v>
      </c>
      <c r="X192" s="6">
        <f>Table13[[#This Row],[New Gross Salary]]*Table13[[#This Row],[STI %]]</f>
        <v>6552</v>
      </c>
      <c r="Y192" s="96">
        <v>1</v>
      </c>
      <c r="Z192" s="6">
        <f>Table13[[#This Row],[Target STI]]*Table13[[#This Row],[Multiplier]]</f>
        <v>6552</v>
      </c>
      <c r="AA192" s="26">
        <v>0.27</v>
      </c>
      <c r="AB192" s="21" t="s">
        <v>9</v>
      </c>
      <c r="AC192" s="24">
        <f>(Table13[[#This Row],[New Gross Salary]]+Table13[[#This Row],[Final STI]])*Table13[[#This Row],[Tax %]]</f>
        <v>13562.640000000001</v>
      </c>
      <c r="AD192" s="24">
        <f>Table13[[#This Row],[New Gross Salary]]*5%</f>
        <v>2184</v>
      </c>
      <c r="AE192" s="21" cm="1">
        <f t="array" ref="AE192">_xlfn.XLOOKUP(AB192,{"A","B","C"},{500,800,1200})</f>
        <v>800</v>
      </c>
      <c r="AF192" s="24">
        <f t="shared" si="5"/>
        <v>16546.64</v>
      </c>
      <c r="AG192" s="27">
        <f>Table13[[#This Row],[New Gross Salary]]+Table13[[#This Row],[Final STI]]-Table13[[#This Row],[Total Deductions
(Tax+Pension+HP)]]</f>
        <v>33685.360000000001</v>
      </c>
    </row>
    <row r="193" spans="1:33" x14ac:dyDescent="0.2">
      <c r="A193" s="20">
        <v>1192</v>
      </c>
      <c r="B193" s="21" t="s">
        <v>204</v>
      </c>
      <c r="C193" s="21" t="s">
        <v>5</v>
      </c>
      <c r="D193" s="21" t="s">
        <v>550</v>
      </c>
      <c r="E193" s="22">
        <v>43831</v>
      </c>
      <c r="F193" s="21" t="s">
        <v>467</v>
      </c>
      <c r="G193" s="21" t="s">
        <v>526</v>
      </c>
      <c r="H193" s="21" t="s">
        <v>520</v>
      </c>
      <c r="I193" s="5" t="s">
        <v>661</v>
      </c>
      <c r="J193" s="21" t="s">
        <v>532</v>
      </c>
      <c r="K193" s="21" t="s">
        <v>540</v>
      </c>
      <c r="L193" s="23">
        <v>87703</v>
      </c>
      <c r="M193" s="23" t="s">
        <v>673</v>
      </c>
      <c r="N193" s="23">
        <v>58000</v>
      </c>
      <c r="O193" s="23">
        <v>75000</v>
      </c>
      <c r="P193" s="23">
        <v>87000</v>
      </c>
      <c r="Q193" s="24">
        <f>Table13[[#This Row],[Monthly Gross Salary]]/Table13[[#This Row],[Mid]]</f>
        <v>1.1693733333333334</v>
      </c>
      <c r="R193" s="23" t="str">
        <f t="shared" si="4"/>
        <v>High</v>
      </c>
      <c r="S193" s="23">
        <v>3</v>
      </c>
      <c r="T193" s="25">
        <f>INDEX('Merit Matrix'!$B$4:$F$8,
       MATCH($S193,'Merit Matrix'!$A$4:$A$8,0),
       MATCH(TRIM($R193),'Merit Matrix'!$B$3:$F$3,0))</f>
        <v>0.01</v>
      </c>
      <c r="U193" s="24">
        <f>Table13[[#This Row],[Salary increase %]]*Table13[[#This Row],[Monthly Gross Salary]]</f>
        <v>877.03</v>
      </c>
      <c r="V193" s="23">
        <f>Table13[[#This Row],[Salary increase Amount]]+Table13[[#This Row],[Monthly Gross Salary]]</f>
        <v>88580.03</v>
      </c>
      <c r="W193" s="75">
        <v>0.2</v>
      </c>
      <c r="X193" s="6">
        <f>Table13[[#This Row],[New Gross Salary]]*Table13[[#This Row],[STI %]]</f>
        <v>17716.006000000001</v>
      </c>
      <c r="Y193" s="96">
        <v>1</v>
      </c>
      <c r="Z193" s="6">
        <f>Table13[[#This Row],[Target STI]]*Table13[[#This Row],[Multiplier]]</f>
        <v>17716.006000000001</v>
      </c>
      <c r="AA193" s="26">
        <v>0.31</v>
      </c>
      <c r="AB193" s="21" t="s">
        <v>6</v>
      </c>
      <c r="AC193" s="24">
        <f>(Table13[[#This Row],[New Gross Salary]]+Table13[[#This Row],[Final STI]])*Table13[[#This Row],[Tax %]]</f>
        <v>32951.771159999997</v>
      </c>
      <c r="AD193" s="24">
        <f>Table13[[#This Row],[New Gross Salary]]*5%</f>
        <v>4429.0015000000003</v>
      </c>
      <c r="AE193" s="21" cm="1">
        <f t="array" ref="AE193">_xlfn.XLOOKUP(AB193,{"A","B","C"},{500,800,1200})</f>
        <v>1200</v>
      </c>
      <c r="AF193" s="24">
        <f t="shared" si="5"/>
        <v>38580.772659999995</v>
      </c>
      <c r="AG193" s="27">
        <f>Table13[[#This Row],[New Gross Salary]]+Table13[[#This Row],[Final STI]]-Table13[[#This Row],[Total Deductions
(Tax+Pension+HP)]]</f>
        <v>67715.263340000005</v>
      </c>
    </row>
    <row r="194" spans="1:33" x14ac:dyDescent="0.2">
      <c r="A194" s="20">
        <v>1193</v>
      </c>
      <c r="B194" s="21" t="s">
        <v>205</v>
      </c>
      <c r="C194" s="21" t="s">
        <v>8</v>
      </c>
      <c r="D194" s="21" t="s">
        <v>544</v>
      </c>
      <c r="E194" s="22">
        <v>44562</v>
      </c>
      <c r="F194" s="21" t="s">
        <v>468</v>
      </c>
      <c r="G194" s="21" t="s">
        <v>526</v>
      </c>
      <c r="H194" s="21" t="s">
        <v>520</v>
      </c>
      <c r="I194" s="5" t="s">
        <v>661</v>
      </c>
      <c r="J194" s="21" t="s">
        <v>535</v>
      </c>
      <c r="K194" s="21" t="s">
        <v>538</v>
      </c>
      <c r="L194" s="23">
        <v>42000</v>
      </c>
      <c r="M194" s="23" t="s">
        <v>673</v>
      </c>
      <c r="N194" s="23">
        <v>38000</v>
      </c>
      <c r="O194" s="23">
        <v>50000</v>
      </c>
      <c r="P194" s="23">
        <v>56000</v>
      </c>
      <c r="Q194" s="24">
        <f>Table13[[#This Row],[Monthly Gross Salary]]/Table13[[#This Row],[Mid]]</f>
        <v>0.84</v>
      </c>
      <c r="R194" s="23" t="str">
        <f t="shared" si="4"/>
        <v>Very Low</v>
      </c>
      <c r="S194" s="23">
        <v>3</v>
      </c>
      <c r="T194" s="25">
        <f>INDEX('Merit Matrix'!$B$4:$F$8,
       MATCH($S194,'Merit Matrix'!$A$4:$A$8,0),
       MATCH(TRIM($R194),'Merit Matrix'!$B$3:$F$3,0))</f>
        <v>0.04</v>
      </c>
      <c r="U194" s="24">
        <f>Table13[[#This Row],[Salary increase %]]*Table13[[#This Row],[Monthly Gross Salary]]</f>
        <v>1680</v>
      </c>
      <c r="V194" s="23">
        <f>Table13[[#This Row],[Salary increase Amount]]+Table13[[#This Row],[Monthly Gross Salary]]</f>
        <v>43680</v>
      </c>
      <c r="W194" s="75">
        <v>0.2</v>
      </c>
      <c r="X194" s="6">
        <f>Table13[[#This Row],[New Gross Salary]]*Table13[[#This Row],[STI %]]</f>
        <v>8736</v>
      </c>
      <c r="Y194" s="96">
        <v>1</v>
      </c>
      <c r="Z194" s="6">
        <f>Table13[[#This Row],[Target STI]]*Table13[[#This Row],[Multiplier]]</f>
        <v>8736</v>
      </c>
      <c r="AA194" s="26">
        <v>0.31</v>
      </c>
      <c r="AB194" s="21" t="s">
        <v>18</v>
      </c>
      <c r="AC194" s="24">
        <f>(Table13[[#This Row],[New Gross Salary]]+Table13[[#This Row],[Final STI]])*Table13[[#This Row],[Tax %]]</f>
        <v>16248.96</v>
      </c>
      <c r="AD194" s="24">
        <f>Table13[[#This Row],[New Gross Salary]]*5%</f>
        <v>2184</v>
      </c>
      <c r="AE194" s="21" cm="1">
        <f t="array" ref="AE194">_xlfn.XLOOKUP(AB194,{"A","B","C"},{500,800,1200})</f>
        <v>500</v>
      </c>
      <c r="AF194" s="24">
        <f t="shared" si="5"/>
        <v>18932.96</v>
      </c>
      <c r="AG194" s="27">
        <f>Table13[[#This Row],[New Gross Salary]]+Table13[[#This Row],[Final STI]]-Table13[[#This Row],[Total Deductions
(Tax+Pension+HP)]]</f>
        <v>33483.040000000001</v>
      </c>
    </row>
    <row r="195" spans="1:33" x14ac:dyDescent="0.2">
      <c r="A195" s="20">
        <v>1194</v>
      </c>
      <c r="B195" s="21" t="s">
        <v>206</v>
      </c>
      <c r="C195" s="21" t="s">
        <v>11</v>
      </c>
      <c r="D195" s="21" t="s">
        <v>531</v>
      </c>
      <c r="E195" s="22">
        <v>44562</v>
      </c>
      <c r="F195" s="21" t="s">
        <v>469</v>
      </c>
      <c r="G195" s="21" t="s">
        <v>526</v>
      </c>
      <c r="H195" s="21" t="s">
        <v>520</v>
      </c>
      <c r="I195" s="5" t="s">
        <v>661</v>
      </c>
      <c r="J195" s="21" t="s">
        <v>533</v>
      </c>
      <c r="K195" s="21" t="s">
        <v>537</v>
      </c>
      <c r="L195" s="23">
        <v>43261</v>
      </c>
      <c r="M195" s="23" t="s">
        <v>673</v>
      </c>
      <c r="N195" s="23">
        <v>35000</v>
      </c>
      <c r="O195" s="23">
        <v>40000</v>
      </c>
      <c r="P195" s="23">
        <v>45000</v>
      </c>
      <c r="Q195" s="24">
        <f>Table13[[#This Row],[Monthly Gross Salary]]/Table13[[#This Row],[Mid]]</f>
        <v>1.0815250000000001</v>
      </c>
      <c r="R195" s="23" t="str">
        <f t="shared" ref="R195:R251" si="6">IF(Q195&lt;0.85,"Very Low",
 IF(Q195&lt;0.95,"Below Mid",
 IF(Q195&lt;=1.05,"Around Mid",
 IF(Q195&lt;=1.15,"Above Mid","High"))))</f>
        <v>Above Mid</v>
      </c>
      <c r="S195" s="23">
        <v>3</v>
      </c>
      <c r="T195" s="25">
        <f>INDEX('Merit Matrix'!$B$4:$F$8,
       MATCH($S195,'Merit Matrix'!$A$4:$A$8,0),
       MATCH(TRIM($R195),'Merit Matrix'!$B$3:$F$3,0))</f>
        <v>0.02</v>
      </c>
      <c r="U195" s="24">
        <f>Table13[[#This Row],[Salary increase %]]*Table13[[#This Row],[Monthly Gross Salary]]</f>
        <v>865.22</v>
      </c>
      <c r="V195" s="23">
        <f>Table13[[#This Row],[Salary increase Amount]]+Table13[[#This Row],[Monthly Gross Salary]]</f>
        <v>44126.22</v>
      </c>
      <c r="W195" s="75">
        <v>0.1</v>
      </c>
      <c r="X195" s="6">
        <f>Table13[[#This Row],[New Gross Salary]]*Table13[[#This Row],[STI %]]</f>
        <v>4412.6220000000003</v>
      </c>
      <c r="Y195" s="96">
        <v>1</v>
      </c>
      <c r="Z195" s="6">
        <f>Table13[[#This Row],[Target STI]]*Table13[[#This Row],[Multiplier]]</f>
        <v>4412.6220000000003</v>
      </c>
      <c r="AA195" s="26">
        <v>0.32</v>
      </c>
      <c r="AB195" s="21" t="s">
        <v>6</v>
      </c>
      <c r="AC195" s="24">
        <f>(Table13[[#This Row],[New Gross Salary]]+Table13[[#This Row],[Final STI]])*Table13[[#This Row],[Tax %]]</f>
        <v>15532.429440000002</v>
      </c>
      <c r="AD195" s="24">
        <f>Table13[[#This Row],[New Gross Salary]]*5%</f>
        <v>2206.3110000000001</v>
      </c>
      <c r="AE195" s="21" cm="1">
        <f t="array" ref="AE195">_xlfn.XLOOKUP(AB195,{"A","B","C"},{500,800,1200})</f>
        <v>1200</v>
      </c>
      <c r="AF195" s="24">
        <f t="shared" ref="AF195:AF251" si="7">SUM(AC195:AE195)</f>
        <v>18938.740440000001</v>
      </c>
      <c r="AG195" s="27">
        <f>Table13[[#This Row],[New Gross Salary]]+Table13[[#This Row],[Final STI]]-Table13[[#This Row],[Total Deductions
(Tax+Pension+HP)]]</f>
        <v>29600.101560000003</v>
      </c>
    </row>
    <row r="196" spans="1:33" x14ac:dyDescent="0.2">
      <c r="A196" s="20">
        <v>1195</v>
      </c>
      <c r="B196" s="21" t="s">
        <v>207</v>
      </c>
      <c r="C196" s="21" t="s">
        <v>42</v>
      </c>
      <c r="D196" s="21" t="s">
        <v>556</v>
      </c>
      <c r="E196" s="22">
        <v>43831</v>
      </c>
      <c r="F196" s="21" t="s">
        <v>470</v>
      </c>
      <c r="G196" s="21" t="s">
        <v>525</v>
      </c>
      <c r="H196" s="21" t="s">
        <v>520</v>
      </c>
      <c r="I196" s="5" t="s">
        <v>661</v>
      </c>
      <c r="J196" s="21" t="s">
        <v>532</v>
      </c>
      <c r="K196" s="21" t="s">
        <v>539</v>
      </c>
      <c r="L196" s="23">
        <v>71263</v>
      </c>
      <c r="M196" s="23" t="s">
        <v>673</v>
      </c>
      <c r="N196" s="23">
        <v>55000</v>
      </c>
      <c r="O196" s="23">
        <v>75000</v>
      </c>
      <c r="P196" s="23">
        <v>85000</v>
      </c>
      <c r="Q196" s="24">
        <f>Table13[[#This Row],[Monthly Gross Salary]]/Table13[[#This Row],[Mid]]</f>
        <v>0.95017333333333331</v>
      </c>
      <c r="R196" s="23" t="str">
        <f t="shared" si="6"/>
        <v>Around Mid</v>
      </c>
      <c r="S196" s="23">
        <v>4</v>
      </c>
      <c r="T196" s="25">
        <f>INDEX('Merit Matrix'!$B$4:$F$8,
       MATCH($S196,'Merit Matrix'!$A$4:$A$8,0),
       MATCH(TRIM($R196),'Merit Matrix'!$B$3:$F$3,0))</f>
        <v>0.04</v>
      </c>
      <c r="U196" s="24">
        <f>Table13[[#This Row],[Salary increase %]]*Table13[[#This Row],[Monthly Gross Salary]]</f>
        <v>2850.52</v>
      </c>
      <c r="V196" s="23">
        <f>Table13[[#This Row],[Salary increase Amount]]+Table13[[#This Row],[Monthly Gross Salary]]</f>
        <v>74113.52</v>
      </c>
      <c r="W196" s="75">
        <v>0.2</v>
      </c>
      <c r="X196" s="6">
        <f>Table13[[#This Row],[New Gross Salary]]*Table13[[#This Row],[STI %]]</f>
        <v>14822.704000000002</v>
      </c>
      <c r="Y196" s="96">
        <v>1.2</v>
      </c>
      <c r="Z196" s="6">
        <f>Table13[[#This Row],[Target STI]]*Table13[[#This Row],[Multiplier]]</f>
        <v>17787.2448</v>
      </c>
      <c r="AA196" s="26">
        <v>0.32</v>
      </c>
      <c r="AB196" s="21" t="s">
        <v>6</v>
      </c>
      <c r="AC196" s="24">
        <f>(Table13[[#This Row],[New Gross Salary]]+Table13[[#This Row],[Final STI]])*Table13[[#This Row],[Tax %]]</f>
        <v>29408.244736000001</v>
      </c>
      <c r="AD196" s="24">
        <f>Table13[[#This Row],[New Gross Salary]]*5%</f>
        <v>3705.6760000000004</v>
      </c>
      <c r="AE196" s="21" cm="1">
        <f t="array" ref="AE196">_xlfn.XLOOKUP(AB196,{"A","B","C"},{500,800,1200})</f>
        <v>1200</v>
      </c>
      <c r="AF196" s="24">
        <f t="shared" si="7"/>
        <v>34313.920736</v>
      </c>
      <c r="AG196" s="27">
        <f>Table13[[#This Row],[New Gross Salary]]+Table13[[#This Row],[Final STI]]-Table13[[#This Row],[Total Deductions
(Tax+Pension+HP)]]</f>
        <v>57586.844064000004</v>
      </c>
    </row>
    <row r="197" spans="1:33" x14ac:dyDescent="0.2">
      <c r="A197" s="20">
        <v>1196</v>
      </c>
      <c r="B197" s="21" t="s">
        <v>208</v>
      </c>
      <c r="C197" s="21" t="s">
        <v>5</v>
      </c>
      <c r="D197" s="21" t="s">
        <v>550</v>
      </c>
      <c r="E197" s="22">
        <v>43831</v>
      </c>
      <c r="F197" s="21" t="s">
        <v>471</v>
      </c>
      <c r="G197" s="21" t="s">
        <v>525</v>
      </c>
      <c r="H197" s="21" t="s">
        <v>520</v>
      </c>
      <c r="I197" s="5" t="s">
        <v>661</v>
      </c>
      <c r="J197" s="21" t="s">
        <v>532</v>
      </c>
      <c r="K197" s="21" t="s">
        <v>540</v>
      </c>
      <c r="L197" s="23">
        <v>87703</v>
      </c>
      <c r="M197" s="23" t="s">
        <v>673</v>
      </c>
      <c r="N197" s="23">
        <v>58000</v>
      </c>
      <c r="O197" s="23">
        <v>75000</v>
      </c>
      <c r="P197" s="23">
        <v>87000</v>
      </c>
      <c r="Q197" s="24">
        <f>Table13[[#This Row],[Monthly Gross Salary]]/Table13[[#This Row],[Mid]]</f>
        <v>1.1693733333333334</v>
      </c>
      <c r="R197" s="23" t="str">
        <f t="shared" si="6"/>
        <v>High</v>
      </c>
      <c r="S197" s="23">
        <v>4</v>
      </c>
      <c r="T197" s="25">
        <f>INDEX('Merit Matrix'!$B$4:$F$8,
       MATCH($S197,'Merit Matrix'!$A$4:$A$8,0),
       MATCH(TRIM($R197),'Merit Matrix'!$B$3:$F$3,0))</f>
        <v>1.4999999999999999E-2</v>
      </c>
      <c r="U197" s="24">
        <f>Table13[[#This Row],[Salary increase %]]*Table13[[#This Row],[Monthly Gross Salary]]</f>
        <v>1315.5449999999998</v>
      </c>
      <c r="V197" s="23">
        <f>Table13[[#This Row],[Salary increase Amount]]+Table13[[#This Row],[Monthly Gross Salary]]</f>
        <v>89018.544999999998</v>
      </c>
      <c r="W197" s="75">
        <v>0.2</v>
      </c>
      <c r="X197" s="6">
        <f>Table13[[#This Row],[New Gross Salary]]*Table13[[#This Row],[STI %]]</f>
        <v>17803.708999999999</v>
      </c>
      <c r="Y197" s="96">
        <v>1.2</v>
      </c>
      <c r="Z197" s="6">
        <f>Table13[[#This Row],[Target STI]]*Table13[[#This Row],[Multiplier]]</f>
        <v>21364.450799999999</v>
      </c>
      <c r="AA197" s="26">
        <v>0.32</v>
      </c>
      <c r="AB197" s="21" t="s">
        <v>9</v>
      </c>
      <c r="AC197" s="24">
        <f>(Table13[[#This Row],[New Gross Salary]]+Table13[[#This Row],[Final STI]])*Table13[[#This Row],[Tax %]]</f>
        <v>35322.558656000001</v>
      </c>
      <c r="AD197" s="24">
        <f>Table13[[#This Row],[New Gross Salary]]*5%</f>
        <v>4450.9272499999997</v>
      </c>
      <c r="AE197" s="21" cm="1">
        <f t="array" ref="AE197">_xlfn.XLOOKUP(AB197,{"A","B","C"},{500,800,1200})</f>
        <v>800</v>
      </c>
      <c r="AF197" s="24">
        <f t="shared" si="7"/>
        <v>40573.485906000002</v>
      </c>
      <c r="AG197" s="27">
        <f>Table13[[#This Row],[New Gross Salary]]+Table13[[#This Row],[Final STI]]-Table13[[#This Row],[Total Deductions
(Tax+Pension+HP)]]</f>
        <v>69809.509894000003</v>
      </c>
    </row>
    <row r="198" spans="1:33" x14ac:dyDescent="0.2">
      <c r="A198" s="20">
        <v>1197</v>
      </c>
      <c r="B198" s="21" t="s">
        <v>209</v>
      </c>
      <c r="C198" s="21" t="s">
        <v>11</v>
      </c>
      <c r="D198" s="21" t="s">
        <v>531</v>
      </c>
      <c r="E198" s="22">
        <v>44562</v>
      </c>
      <c r="F198" s="21" t="s">
        <v>472</v>
      </c>
      <c r="G198" s="21" t="s">
        <v>525</v>
      </c>
      <c r="H198" s="21" t="s">
        <v>520</v>
      </c>
      <c r="I198" s="5" t="s">
        <v>661</v>
      </c>
      <c r="J198" s="21" t="s">
        <v>533</v>
      </c>
      <c r="K198" s="21" t="s">
        <v>537</v>
      </c>
      <c r="L198" s="23">
        <v>43261</v>
      </c>
      <c r="M198" s="23" t="s">
        <v>673</v>
      </c>
      <c r="N198" s="23">
        <v>35000</v>
      </c>
      <c r="O198" s="23">
        <v>40000</v>
      </c>
      <c r="P198" s="23">
        <v>45000</v>
      </c>
      <c r="Q198" s="24">
        <f>Table13[[#This Row],[Monthly Gross Salary]]/Table13[[#This Row],[Mid]]</f>
        <v>1.0815250000000001</v>
      </c>
      <c r="R198" s="23" t="str">
        <f t="shared" si="6"/>
        <v>Above Mid</v>
      </c>
      <c r="S198" s="23">
        <v>4</v>
      </c>
      <c r="T198" s="25">
        <f>INDEX('Merit Matrix'!$B$4:$F$8,
       MATCH($S198,'Merit Matrix'!$A$4:$A$8,0),
       MATCH(TRIM($R198),'Merit Matrix'!$B$3:$F$3,0))</f>
        <v>0.03</v>
      </c>
      <c r="U198" s="24">
        <f>Table13[[#This Row],[Salary increase %]]*Table13[[#This Row],[Monthly Gross Salary]]</f>
        <v>1297.83</v>
      </c>
      <c r="V198" s="23">
        <f>Table13[[#This Row],[Salary increase Amount]]+Table13[[#This Row],[Monthly Gross Salary]]</f>
        <v>44558.83</v>
      </c>
      <c r="W198" s="75">
        <v>0.1</v>
      </c>
      <c r="X198" s="6">
        <f>Table13[[#This Row],[New Gross Salary]]*Table13[[#This Row],[STI %]]</f>
        <v>4455.8830000000007</v>
      </c>
      <c r="Y198" s="96">
        <v>1.2</v>
      </c>
      <c r="Z198" s="6">
        <f>Table13[[#This Row],[Target STI]]*Table13[[#This Row],[Multiplier]]</f>
        <v>5347.0596000000005</v>
      </c>
      <c r="AA198" s="26">
        <v>0.31</v>
      </c>
      <c r="AB198" s="21" t="s">
        <v>9</v>
      </c>
      <c r="AC198" s="24">
        <f>(Table13[[#This Row],[New Gross Salary]]+Table13[[#This Row],[Final STI]])*Table13[[#This Row],[Tax %]]</f>
        <v>15470.825776</v>
      </c>
      <c r="AD198" s="24">
        <f>Table13[[#This Row],[New Gross Salary]]*5%</f>
        <v>2227.9415000000004</v>
      </c>
      <c r="AE198" s="21" cm="1">
        <f t="array" ref="AE198">_xlfn.XLOOKUP(AB198,{"A","B","C"},{500,800,1200})</f>
        <v>800</v>
      </c>
      <c r="AF198" s="24">
        <f t="shared" si="7"/>
        <v>18498.767275999999</v>
      </c>
      <c r="AG198" s="27">
        <f>Table13[[#This Row],[New Gross Salary]]+Table13[[#This Row],[Final STI]]-Table13[[#This Row],[Total Deductions
(Tax+Pension+HP)]]</f>
        <v>31407.122324000004</v>
      </c>
    </row>
    <row r="199" spans="1:33" x14ac:dyDescent="0.2">
      <c r="A199" s="20">
        <v>1198</v>
      </c>
      <c r="B199" s="21" t="s">
        <v>210</v>
      </c>
      <c r="C199" s="21" t="s">
        <v>11</v>
      </c>
      <c r="D199" s="21" t="s">
        <v>531</v>
      </c>
      <c r="E199" s="22">
        <v>44562</v>
      </c>
      <c r="F199" s="21" t="s">
        <v>473</v>
      </c>
      <c r="G199" s="21" t="s">
        <v>525</v>
      </c>
      <c r="H199" s="21" t="s">
        <v>520</v>
      </c>
      <c r="I199" s="5" t="s">
        <v>661</v>
      </c>
      <c r="J199" s="21" t="s">
        <v>533</v>
      </c>
      <c r="K199" s="21" t="s">
        <v>537</v>
      </c>
      <c r="L199" s="23">
        <v>43261</v>
      </c>
      <c r="M199" s="23" t="s">
        <v>673</v>
      </c>
      <c r="N199" s="23">
        <v>35000</v>
      </c>
      <c r="O199" s="23">
        <v>40000</v>
      </c>
      <c r="P199" s="23">
        <v>45000</v>
      </c>
      <c r="Q199" s="24">
        <f>Table13[[#This Row],[Monthly Gross Salary]]/Table13[[#This Row],[Mid]]</f>
        <v>1.0815250000000001</v>
      </c>
      <c r="R199" s="23" t="str">
        <f t="shared" si="6"/>
        <v>Above Mid</v>
      </c>
      <c r="S199" s="23">
        <v>4</v>
      </c>
      <c r="T199" s="25">
        <f>INDEX('Merit Matrix'!$B$4:$F$8,
       MATCH($S199,'Merit Matrix'!$A$4:$A$8,0),
       MATCH(TRIM($R199),'Merit Matrix'!$B$3:$F$3,0))</f>
        <v>0.03</v>
      </c>
      <c r="U199" s="24">
        <f>Table13[[#This Row],[Salary increase %]]*Table13[[#This Row],[Monthly Gross Salary]]</f>
        <v>1297.83</v>
      </c>
      <c r="V199" s="23">
        <f>Table13[[#This Row],[Salary increase Amount]]+Table13[[#This Row],[Monthly Gross Salary]]</f>
        <v>44558.83</v>
      </c>
      <c r="W199" s="75">
        <v>0.1</v>
      </c>
      <c r="X199" s="6">
        <f>Table13[[#This Row],[New Gross Salary]]*Table13[[#This Row],[STI %]]</f>
        <v>4455.8830000000007</v>
      </c>
      <c r="Y199" s="96">
        <v>1.2</v>
      </c>
      <c r="Z199" s="6">
        <f>Table13[[#This Row],[Target STI]]*Table13[[#This Row],[Multiplier]]</f>
        <v>5347.0596000000005</v>
      </c>
      <c r="AA199" s="26">
        <v>0.32</v>
      </c>
      <c r="AB199" s="21" t="s">
        <v>9</v>
      </c>
      <c r="AC199" s="24">
        <f>(Table13[[#This Row],[New Gross Salary]]+Table13[[#This Row],[Final STI]])*Table13[[#This Row],[Tax %]]</f>
        <v>15969.884672000002</v>
      </c>
      <c r="AD199" s="24">
        <f>Table13[[#This Row],[New Gross Salary]]*5%</f>
        <v>2227.9415000000004</v>
      </c>
      <c r="AE199" s="21" cm="1">
        <f t="array" ref="AE199">_xlfn.XLOOKUP(AB199,{"A","B","C"},{500,800,1200})</f>
        <v>800</v>
      </c>
      <c r="AF199" s="24">
        <f t="shared" si="7"/>
        <v>18997.826172000001</v>
      </c>
      <c r="AG199" s="27">
        <f>Table13[[#This Row],[New Gross Salary]]+Table13[[#This Row],[Final STI]]-Table13[[#This Row],[Total Deductions
(Tax+Pension+HP)]]</f>
        <v>30908.063428000001</v>
      </c>
    </row>
    <row r="200" spans="1:33" x14ac:dyDescent="0.2">
      <c r="A200" s="20">
        <v>1199</v>
      </c>
      <c r="B200" s="21" t="s">
        <v>211</v>
      </c>
      <c r="C200" s="21" t="s">
        <v>5</v>
      </c>
      <c r="D200" s="21" t="s">
        <v>550</v>
      </c>
      <c r="E200" s="22">
        <v>43831</v>
      </c>
      <c r="F200" s="21" t="s">
        <v>474</v>
      </c>
      <c r="G200" s="21" t="s">
        <v>525</v>
      </c>
      <c r="H200" s="21" t="s">
        <v>520</v>
      </c>
      <c r="I200" s="5" t="s">
        <v>661</v>
      </c>
      <c r="J200" s="21" t="s">
        <v>532</v>
      </c>
      <c r="K200" s="21" t="s">
        <v>540</v>
      </c>
      <c r="L200" s="23">
        <v>87703</v>
      </c>
      <c r="M200" s="23" t="s">
        <v>673</v>
      </c>
      <c r="N200" s="23">
        <v>58000</v>
      </c>
      <c r="O200" s="23">
        <v>75000</v>
      </c>
      <c r="P200" s="23">
        <v>87000</v>
      </c>
      <c r="Q200" s="24">
        <f>Table13[[#This Row],[Monthly Gross Salary]]/Table13[[#This Row],[Mid]]</f>
        <v>1.1693733333333334</v>
      </c>
      <c r="R200" s="23" t="str">
        <f t="shared" si="6"/>
        <v>High</v>
      </c>
      <c r="S200" s="23">
        <v>4</v>
      </c>
      <c r="T200" s="25">
        <f>INDEX('Merit Matrix'!$B$4:$F$8,
       MATCH($S200,'Merit Matrix'!$A$4:$A$8,0),
       MATCH(TRIM($R200),'Merit Matrix'!$B$3:$F$3,0))</f>
        <v>1.4999999999999999E-2</v>
      </c>
      <c r="U200" s="24">
        <f>Table13[[#This Row],[Salary increase %]]*Table13[[#This Row],[Monthly Gross Salary]]</f>
        <v>1315.5449999999998</v>
      </c>
      <c r="V200" s="23">
        <f>Table13[[#This Row],[Salary increase Amount]]+Table13[[#This Row],[Monthly Gross Salary]]</f>
        <v>89018.544999999998</v>
      </c>
      <c r="W200" s="75">
        <v>0.2</v>
      </c>
      <c r="X200" s="6">
        <f>Table13[[#This Row],[New Gross Salary]]*Table13[[#This Row],[STI %]]</f>
        <v>17803.708999999999</v>
      </c>
      <c r="Y200" s="96">
        <v>1.2</v>
      </c>
      <c r="Z200" s="6">
        <f>Table13[[#This Row],[Target STI]]*Table13[[#This Row],[Multiplier]]</f>
        <v>21364.450799999999</v>
      </c>
      <c r="AA200" s="26">
        <v>0.32</v>
      </c>
      <c r="AB200" s="21" t="s">
        <v>18</v>
      </c>
      <c r="AC200" s="24">
        <f>(Table13[[#This Row],[New Gross Salary]]+Table13[[#This Row],[Final STI]])*Table13[[#This Row],[Tax %]]</f>
        <v>35322.558656000001</v>
      </c>
      <c r="AD200" s="24">
        <f>Table13[[#This Row],[New Gross Salary]]*5%</f>
        <v>4450.9272499999997</v>
      </c>
      <c r="AE200" s="21" cm="1">
        <f t="array" ref="AE200">_xlfn.XLOOKUP(AB200,{"A","B","C"},{500,800,1200})</f>
        <v>500</v>
      </c>
      <c r="AF200" s="24">
        <f t="shared" si="7"/>
        <v>40273.485906000002</v>
      </c>
      <c r="AG200" s="27">
        <f>Table13[[#This Row],[New Gross Salary]]+Table13[[#This Row],[Final STI]]-Table13[[#This Row],[Total Deductions
(Tax+Pension+HP)]]</f>
        <v>70109.509894000003</v>
      </c>
    </row>
    <row r="201" spans="1:33" x14ac:dyDescent="0.2">
      <c r="A201" s="20">
        <v>1200</v>
      </c>
      <c r="B201" s="21" t="s">
        <v>212</v>
      </c>
      <c r="C201" s="21" t="s">
        <v>42</v>
      </c>
      <c r="D201" s="21" t="s">
        <v>556</v>
      </c>
      <c r="E201" s="22">
        <v>43831</v>
      </c>
      <c r="F201" s="21" t="s">
        <v>475</v>
      </c>
      <c r="G201" s="21" t="s">
        <v>525</v>
      </c>
      <c r="H201" s="21" t="s">
        <v>520</v>
      </c>
      <c r="I201" s="5" t="s">
        <v>661</v>
      </c>
      <c r="J201" s="21" t="s">
        <v>532</v>
      </c>
      <c r="K201" s="21" t="s">
        <v>539</v>
      </c>
      <c r="L201" s="23">
        <v>71263</v>
      </c>
      <c r="M201" s="23" t="s">
        <v>673</v>
      </c>
      <c r="N201" s="23">
        <v>55000</v>
      </c>
      <c r="O201" s="23">
        <v>75000</v>
      </c>
      <c r="P201" s="23">
        <v>85000</v>
      </c>
      <c r="Q201" s="24">
        <f>Table13[[#This Row],[Monthly Gross Salary]]/Table13[[#This Row],[Mid]]</f>
        <v>0.95017333333333331</v>
      </c>
      <c r="R201" s="23" t="str">
        <f t="shared" si="6"/>
        <v>Around Mid</v>
      </c>
      <c r="S201" s="23">
        <v>4</v>
      </c>
      <c r="T201" s="25">
        <f>INDEX('Merit Matrix'!$B$4:$F$8,
       MATCH($S201,'Merit Matrix'!$A$4:$A$8,0),
       MATCH(TRIM($R201),'Merit Matrix'!$B$3:$F$3,0))</f>
        <v>0.04</v>
      </c>
      <c r="U201" s="24">
        <f>Table13[[#This Row],[Salary increase %]]*Table13[[#This Row],[Monthly Gross Salary]]</f>
        <v>2850.52</v>
      </c>
      <c r="V201" s="23">
        <f>Table13[[#This Row],[Salary increase Amount]]+Table13[[#This Row],[Monthly Gross Salary]]</f>
        <v>74113.52</v>
      </c>
      <c r="W201" s="75">
        <v>0.2</v>
      </c>
      <c r="X201" s="6">
        <f>Table13[[#This Row],[New Gross Salary]]*Table13[[#This Row],[STI %]]</f>
        <v>14822.704000000002</v>
      </c>
      <c r="Y201" s="96">
        <v>1.2</v>
      </c>
      <c r="Z201" s="6">
        <f>Table13[[#This Row],[Target STI]]*Table13[[#This Row],[Multiplier]]</f>
        <v>17787.2448</v>
      </c>
      <c r="AA201" s="26">
        <v>0.3</v>
      </c>
      <c r="AB201" s="21" t="s">
        <v>18</v>
      </c>
      <c r="AC201" s="24">
        <f>(Table13[[#This Row],[New Gross Salary]]+Table13[[#This Row],[Final STI]])*Table13[[#This Row],[Tax %]]</f>
        <v>27570.229439999999</v>
      </c>
      <c r="AD201" s="24">
        <f>Table13[[#This Row],[New Gross Salary]]*5%</f>
        <v>3705.6760000000004</v>
      </c>
      <c r="AE201" s="21" cm="1">
        <f t="array" ref="AE201">_xlfn.XLOOKUP(AB201,{"A","B","C"},{500,800,1200})</f>
        <v>500</v>
      </c>
      <c r="AF201" s="24">
        <f t="shared" si="7"/>
        <v>31775.905439999999</v>
      </c>
      <c r="AG201" s="27">
        <f>Table13[[#This Row],[New Gross Salary]]+Table13[[#This Row],[Final STI]]-Table13[[#This Row],[Total Deductions
(Tax+Pension+HP)]]</f>
        <v>60124.859360000002</v>
      </c>
    </row>
    <row r="202" spans="1:33" x14ac:dyDescent="0.2">
      <c r="A202" s="20">
        <v>1201</v>
      </c>
      <c r="B202" s="21" t="s">
        <v>213</v>
      </c>
      <c r="C202" s="21" t="s">
        <v>42</v>
      </c>
      <c r="D202" s="21" t="s">
        <v>556</v>
      </c>
      <c r="E202" s="22">
        <v>43831</v>
      </c>
      <c r="F202" s="21" t="s">
        <v>476</v>
      </c>
      <c r="G202" s="21" t="s">
        <v>525</v>
      </c>
      <c r="H202" s="21" t="s">
        <v>520</v>
      </c>
      <c r="I202" s="5" t="s">
        <v>661</v>
      </c>
      <c r="J202" s="21" t="s">
        <v>532</v>
      </c>
      <c r="K202" s="21" t="s">
        <v>539</v>
      </c>
      <c r="L202" s="23">
        <v>71263</v>
      </c>
      <c r="M202" s="23" t="s">
        <v>673</v>
      </c>
      <c r="N202" s="23">
        <v>55000</v>
      </c>
      <c r="O202" s="23">
        <v>75000</v>
      </c>
      <c r="P202" s="23">
        <v>85000</v>
      </c>
      <c r="Q202" s="24">
        <f>Table13[[#This Row],[Monthly Gross Salary]]/Table13[[#This Row],[Mid]]</f>
        <v>0.95017333333333331</v>
      </c>
      <c r="R202" s="23" t="str">
        <f t="shared" si="6"/>
        <v>Around Mid</v>
      </c>
      <c r="S202" s="23">
        <v>4</v>
      </c>
      <c r="T202" s="25">
        <f>INDEX('Merit Matrix'!$B$4:$F$8,
       MATCH($S202,'Merit Matrix'!$A$4:$A$8,0),
       MATCH(TRIM($R202),'Merit Matrix'!$B$3:$F$3,0))</f>
        <v>0.04</v>
      </c>
      <c r="U202" s="24">
        <f>Table13[[#This Row],[Salary increase %]]*Table13[[#This Row],[Monthly Gross Salary]]</f>
        <v>2850.52</v>
      </c>
      <c r="V202" s="23">
        <f>Table13[[#This Row],[Salary increase Amount]]+Table13[[#This Row],[Monthly Gross Salary]]</f>
        <v>74113.52</v>
      </c>
      <c r="W202" s="75">
        <v>0.2</v>
      </c>
      <c r="X202" s="6">
        <f>Table13[[#This Row],[New Gross Salary]]*Table13[[#This Row],[STI %]]</f>
        <v>14822.704000000002</v>
      </c>
      <c r="Y202" s="96">
        <v>1.2</v>
      </c>
      <c r="Z202" s="6">
        <f>Table13[[#This Row],[Target STI]]*Table13[[#This Row],[Multiplier]]</f>
        <v>17787.2448</v>
      </c>
      <c r="AA202" s="26">
        <v>0.3</v>
      </c>
      <c r="AB202" s="21" t="s">
        <v>6</v>
      </c>
      <c r="AC202" s="24">
        <f>(Table13[[#This Row],[New Gross Salary]]+Table13[[#This Row],[Final STI]])*Table13[[#This Row],[Tax %]]</f>
        <v>27570.229439999999</v>
      </c>
      <c r="AD202" s="24">
        <f>Table13[[#This Row],[New Gross Salary]]*5%</f>
        <v>3705.6760000000004</v>
      </c>
      <c r="AE202" s="21" cm="1">
        <f t="array" ref="AE202">_xlfn.XLOOKUP(AB202,{"A","B","C"},{500,800,1200})</f>
        <v>1200</v>
      </c>
      <c r="AF202" s="24">
        <f t="shared" si="7"/>
        <v>32475.905439999999</v>
      </c>
      <c r="AG202" s="27">
        <f>Table13[[#This Row],[New Gross Salary]]+Table13[[#This Row],[Final STI]]-Table13[[#This Row],[Total Deductions
(Tax+Pension+HP)]]</f>
        <v>59424.859360000002</v>
      </c>
    </row>
    <row r="203" spans="1:33" x14ac:dyDescent="0.2">
      <c r="A203" s="20">
        <v>1202</v>
      </c>
      <c r="B203" s="21" t="s">
        <v>214</v>
      </c>
      <c r="C203" s="21" t="s">
        <v>42</v>
      </c>
      <c r="D203" s="21" t="s">
        <v>556</v>
      </c>
      <c r="E203" s="22">
        <v>43831</v>
      </c>
      <c r="F203" s="21" t="s">
        <v>477</v>
      </c>
      <c r="G203" s="21" t="s">
        <v>525</v>
      </c>
      <c r="H203" s="21" t="s">
        <v>520</v>
      </c>
      <c r="I203" s="5" t="s">
        <v>661</v>
      </c>
      <c r="J203" s="21" t="s">
        <v>532</v>
      </c>
      <c r="K203" s="21" t="s">
        <v>539</v>
      </c>
      <c r="L203" s="23">
        <v>73100</v>
      </c>
      <c r="M203" s="23" t="s">
        <v>673</v>
      </c>
      <c r="N203" s="23">
        <v>55000</v>
      </c>
      <c r="O203" s="23">
        <v>75000</v>
      </c>
      <c r="P203" s="23">
        <v>85000</v>
      </c>
      <c r="Q203" s="24">
        <f>Table13[[#This Row],[Monthly Gross Salary]]/Table13[[#This Row],[Mid]]</f>
        <v>0.97466666666666668</v>
      </c>
      <c r="R203" s="23" t="str">
        <f t="shared" si="6"/>
        <v>Around Mid</v>
      </c>
      <c r="S203" s="23">
        <v>4</v>
      </c>
      <c r="T203" s="25">
        <f>INDEX('Merit Matrix'!$B$4:$F$8,
       MATCH($S203,'Merit Matrix'!$A$4:$A$8,0),
       MATCH(TRIM($R203),'Merit Matrix'!$B$3:$F$3,0))</f>
        <v>0.04</v>
      </c>
      <c r="U203" s="24">
        <f>Table13[[#This Row],[Salary increase %]]*Table13[[#This Row],[Monthly Gross Salary]]</f>
        <v>2924</v>
      </c>
      <c r="V203" s="23">
        <f>Table13[[#This Row],[Salary increase Amount]]+Table13[[#This Row],[Monthly Gross Salary]]</f>
        <v>76024</v>
      </c>
      <c r="W203" s="75">
        <v>0.2</v>
      </c>
      <c r="X203" s="6">
        <f>Table13[[#This Row],[New Gross Salary]]*Table13[[#This Row],[STI %]]</f>
        <v>15204.800000000001</v>
      </c>
      <c r="Y203" s="96">
        <v>1.2</v>
      </c>
      <c r="Z203" s="6">
        <f>Table13[[#This Row],[Target STI]]*Table13[[#This Row],[Multiplier]]</f>
        <v>18245.760000000002</v>
      </c>
      <c r="AA203" s="26">
        <v>0.32</v>
      </c>
      <c r="AB203" s="21" t="s">
        <v>18</v>
      </c>
      <c r="AC203" s="24">
        <f>(Table13[[#This Row],[New Gross Salary]]+Table13[[#This Row],[Final STI]])*Table13[[#This Row],[Tax %]]</f>
        <v>30166.323200000003</v>
      </c>
      <c r="AD203" s="24">
        <f>Table13[[#This Row],[New Gross Salary]]*5%</f>
        <v>3801.2000000000003</v>
      </c>
      <c r="AE203" s="21" cm="1">
        <f t="array" ref="AE203">_xlfn.XLOOKUP(AB203,{"A","B","C"},{500,800,1200})</f>
        <v>500</v>
      </c>
      <c r="AF203" s="24">
        <f t="shared" si="7"/>
        <v>34467.523200000003</v>
      </c>
      <c r="AG203" s="27">
        <f>Table13[[#This Row],[New Gross Salary]]+Table13[[#This Row],[Final STI]]-Table13[[#This Row],[Total Deductions
(Tax+Pension+HP)]]</f>
        <v>59802.236800000006</v>
      </c>
    </row>
    <row r="204" spans="1:33" x14ac:dyDescent="0.2">
      <c r="A204" s="20">
        <v>1203</v>
      </c>
      <c r="B204" s="21" t="s">
        <v>215</v>
      </c>
      <c r="C204" s="21" t="s">
        <v>42</v>
      </c>
      <c r="D204" s="21" t="s">
        <v>556</v>
      </c>
      <c r="E204" s="22">
        <v>43831</v>
      </c>
      <c r="F204" s="21" t="s">
        <v>478</v>
      </c>
      <c r="G204" s="21" t="s">
        <v>525</v>
      </c>
      <c r="H204" s="21" t="s">
        <v>520</v>
      </c>
      <c r="I204" s="5" t="s">
        <v>661</v>
      </c>
      <c r="J204" s="21" t="s">
        <v>532</v>
      </c>
      <c r="K204" s="21" t="s">
        <v>539</v>
      </c>
      <c r="L204" s="23">
        <v>73100</v>
      </c>
      <c r="M204" s="23" t="s">
        <v>673</v>
      </c>
      <c r="N204" s="23">
        <v>55000</v>
      </c>
      <c r="O204" s="23">
        <v>75000</v>
      </c>
      <c r="P204" s="23">
        <v>85000</v>
      </c>
      <c r="Q204" s="24">
        <f>Table13[[#This Row],[Monthly Gross Salary]]/Table13[[#This Row],[Mid]]</f>
        <v>0.97466666666666668</v>
      </c>
      <c r="R204" s="23" t="str">
        <f t="shared" si="6"/>
        <v>Around Mid</v>
      </c>
      <c r="S204" s="23">
        <v>4</v>
      </c>
      <c r="T204" s="25">
        <f>INDEX('Merit Matrix'!$B$4:$F$8,
       MATCH($S204,'Merit Matrix'!$A$4:$A$8,0),
       MATCH(TRIM($R204),'Merit Matrix'!$B$3:$F$3,0))</f>
        <v>0.04</v>
      </c>
      <c r="U204" s="24">
        <f>Table13[[#This Row],[Salary increase %]]*Table13[[#This Row],[Monthly Gross Salary]]</f>
        <v>2924</v>
      </c>
      <c r="V204" s="23">
        <f>Table13[[#This Row],[Salary increase Amount]]+Table13[[#This Row],[Monthly Gross Salary]]</f>
        <v>76024</v>
      </c>
      <c r="W204" s="75">
        <v>0.2</v>
      </c>
      <c r="X204" s="6">
        <f>Table13[[#This Row],[New Gross Salary]]*Table13[[#This Row],[STI %]]</f>
        <v>15204.800000000001</v>
      </c>
      <c r="Y204" s="96">
        <v>1.2</v>
      </c>
      <c r="Z204" s="6">
        <f>Table13[[#This Row],[Target STI]]*Table13[[#This Row],[Multiplier]]</f>
        <v>18245.760000000002</v>
      </c>
      <c r="AA204" s="26">
        <v>0.31</v>
      </c>
      <c r="AB204" s="21" t="s">
        <v>9</v>
      </c>
      <c r="AC204" s="24">
        <f>(Table13[[#This Row],[New Gross Salary]]+Table13[[#This Row],[Final STI]])*Table13[[#This Row],[Tax %]]</f>
        <v>29223.625600000003</v>
      </c>
      <c r="AD204" s="24">
        <f>Table13[[#This Row],[New Gross Salary]]*5%</f>
        <v>3801.2000000000003</v>
      </c>
      <c r="AE204" s="21" cm="1">
        <f t="array" ref="AE204">_xlfn.XLOOKUP(AB204,{"A","B","C"},{500,800,1200})</f>
        <v>800</v>
      </c>
      <c r="AF204" s="24">
        <f t="shared" si="7"/>
        <v>33824.825600000004</v>
      </c>
      <c r="AG204" s="27">
        <f>Table13[[#This Row],[New Gross Salary]]+Table13[[#This Row],[Final STI]]-Table13[[#This Row],[Total Deductions
(Tax+Pension+HP)]]</f>
        <v>60444.934400000006</v>
      </c>
    </row>
    <row r="205" spans="1:33" x14ac:dyDescent="0.2">
      <c r="A205" s="20">
        <v>1204</v>
      </c>
      <c r="B205" s="21" t="s">
        <v>216</v>
      </c>
      <c r="C205" s="21" t="s">
        <v>14</v>
      </c>
      <c r="D205" s="21" t="s">
        <v>553</v>
      </c>
      <c r="E205" s="22">
        <v>43831</v>
      </c>
      <c r="F205" s="21" t="s">
        <v>479</v>
      </c>
      <c r="G205" s="21" t="s">
        <v>525</v>
      </c>
      <c r="H205" s="21" t="s">
        <v>520</v>
      </c>
      <c r="I205" s="5" t="s">
        <v>661</v>
      </c>
      <c r="J205" s="21" t="s">
        <v>532</v>
      </c>
      <c r="K205" s="21" t="s">
        <v>540</v>
      </c>
      <c r="L205" s="23">
        <v>87703</v>
      </c>
      <c r="M205" s="23" t="s">
        <v>673</v>
      </c>
      <c r="N205" s="23">
        <v>58000</v>
      </c>
      <c r="O205" s="23">
        <v>75000</v>
      </c>
      <c r="P205" s="23">
        <v>87000</v>
      </c>
      <c r="Q205" s="24">
        <f>Table13[[#This Row],[Monthly Gross Salary]]/Table13[[#This Row],[Mid]]</f>
        <v>1.1693733333333334</v>
      </c>
      <c r="R205" s="23" t="str">
        <f t="shared" si="6"/>
        <v>High</v>
      </c>
      <c r="S205" s="23">
        <v>4</v>
      </c>
      <c r="T205" s="25">
        <f>INDEX('Merit Matrix'!$B$4:$F$8,
       MATCH($S205,'Merit Matrix'!$A$4:$A$8,0),
       MATCH(TRIM($R205),'Merit Matrix'!$B$3:$F$3,0))</f>
        <v>1.4999999999999999E-2</v>
      </c>
      <c r="U205" s="24">
        <f>Table13[[#This Row],[Salary increase %]]*Table13[[#This Row],[Monthly Gross Salary]]</f>
        <v>1315.5449999999998</v>
      </c>
      <c r="V205" s="23">
        <f>Table13[[#This Row],[Salary increase Amount]]+Table13[[#This Row],[Monthly Gross Salary]]</f>
        <v>89018.544999999998</v>
      </c>
      <c r="W205" s="75">
        <v>0.2</v>
      </c>
      <c r="X205" s="6">
        <f>Table13[[#This Row],[New Gross Salary]]*Table13[[#This Row],[STI %]]</f>
        <v>17803.708999999999</v>
      </c>
      <c r="Y205" s="96">
        <v>1.2</v>
      </c>
      <c r="Z205" s="6">
        <f>Table13[[#This Row],[Target STI]]*Table13[[#This Row],[Multiplier]]</f>
        <v>21364.450799999999</v>
      </c>
      <c r="AA205" s="26">
        <v>0.3</v>
      </c>
      <c r="AB205" s="21" t="s">
        <v>18</v>
      </c>
      <c r="AC205" s="24">
        <f>(Table13[[#This Row],[New Gross Salary]]+Table13[[#This Row],[Final STI]])*Table13[[#This Row],[Tax %]]</f>
        <v>33114.898739999997</v>
      </c>
      <c r="AD205" s="24">
        <f>Table13[[#This Row],[New Gross Salary]]*5%</f>
        <v>4450.9272499999997</v>
      </c>
      <c r="AE205" s="21" cm="1">
        <f t="array" ref="AE205">_xlfn.XLOOKUP(AB205,{"A","B","C"},{500,800,1200})</f>
        <v>500</v>
      </c>
      <c r="AF205" s="24">
        <f t="shared" si="7"/>
        <v>38065.825989999998</v>
      </c>
      <c r="AG205" s="27">
        <f>Table13[[#This Row],[New Gross Salary]]+Table13[[#This Row],[Final STI]]-Table13[[#This Row],[Total Deductions
(Tax+Pension+HP)]]</f>
        <v>72317.169810000007</v>
      </c>
    </row>
    <row r="206" spans="1:33" x14ac:dyDescent="0.2">
      <c r="A206" s="20">
        <v>1205</v>
      </c>
      <c r="B206" s="21" t="s">
        <v>217</v>
      </c>
      <c r="C206" s="21" t="s">
        <v>17</v>
      </c>
      <c r="D206" s="21" t="s">
        <v>560</v>
      </c>
      <c r="E206" s="22">
        <v>45292</v>
      </c>
      <c r="F206" s="21" t="s">
        <v>480</v>
      </c>
      <c r="G206" s="21" t="s">
        <v>525</v>
      </c>
      <c r="H206" s="21" t="s">
        <v>520</v>
      </c>
      <c r="I206" s="5" t="s">
        <v>661</v>
      </c>
      <c r="J206" s="21" t="s">
        <v>535</v>
      </c>
      <c r="K206" s="21" t="s">
        <v>538</v>
      </c>
      <c r="L206" s="23">
        <v>42000</v>
      </c>
      <c r="M206" s="23" t="s">
        <v>673</v>
      </c>
      <c r="N206" s="23">
        <v>38000</v>
      </c>
      <c r="O206" s="23">
        <v>50000</v>
      </c>
      <c r="P206" s="23">
        <v>56000</v>
      </c>
      <c r="Q206" s="24">
        <f>Table13[[#This Row],[Monthly Gross Salary]]/Table13[[#This Row],[Mid]]</f>
        <v>0.84</v>
      </c>
      <c r="R206" s="23" t="str">
        <f t="shared" si="6"/>
        <v>Very Low</v>
      </c>
      <c r="S206" s="23">
        <v>4</v>
      </c>
      <c r="T206" s="25">
        <f>INDEX('Merit Matrix'!$B$4:$F$8,
       MATCH($S206,'Merit Matrix'!$A$4:$A$8,0),
       MATCH(TRIM($R206),'Merit Matrix'!$B$3:$F$3,0))</f>
        <v>0.06</v>
      </c>
      <c r="U206" s="24">
        <f>Table13[[#This Row],[Salary increase %]]*Table13[[#This Row],[Monthly Gross Salary]]</f>
        <v>2520</v>
      </c>
      <c r="V206" s="23">
        <f>Table13[[#This Row],[Salary increase Amount]]+Table13[[#This Row],[Monthly Gross Salary]]</f>
        <v>44520</v>
      </c>
      <c r="W206" s="75">
        <v>0.15</v>
      </c>
      <c r="X206" s="6">
        <f>Table13[[#This Row],[New Gross Salary]]*Table13[[#This Row],[STI %]]</f>
        <v>6678</v>
      </c>
      <c r="Y206" s="96">
        <v>1.2</v>
      </c>
      <c r="Z206" s="6">
        <f>Table13[[#This Row],[Target STI]]*Table13[[#This Row],[Multiplier]]</f>
        <v>8013.5999999999995</v>
      </c>
      <c r="AA206" s="26">
        <v>0.27</v>
      </c>
      <c r="AB206" s="21" t="s">
        <v>9</v>
      </c>
      <c r="AC206" s="24">
        <f>(Table13[[#This Row],[New Gross Salary]]+Table13[[#This Row],[Final STI]])*Table13[[#This Row],[Tax %]]</f>
        <v>14184.072</v>
      </c>
      <c r="AD206" s="24">
        <f>Table13[[#This Row],[New Gross Salary]]*5%</f>
        <v>2226</v>
      </c>
      <c r="AE206" s="21" cm="1">
        <f t="array" ref="AE206">_xlfn.XLOOKUP(AB206,{"A","B","C"},{500,800,1200})</f>
        <v>800</v>
      </c>
      <c r="AF206" s="24">
        <f t="shared" si="7"/>
        <v>17210.072</v>
      </c>
      <c r="AG206" s="27">
        <f>Table13[[#This Row],[New Gross Salary]]+Table13[[#This Row],[Final STI]]-Table13[[#This Row],[Total Deductions
(Tax+Pension+HP)]]</f>
        <v>35323.527999999998</v>
      </c>
    </row>
    <row r="207" spans="1:33" x14ac:dyDescent="0.2">
      <c r="A207" s="20">
        <v>1206</v>
      </c>
      <c r="B207" s="21" t="s">
        <v>218</v>
      </c>
      <c r="C207" s="21" t="s">
        <v>5</v>
      </c>
      <c r="D207" s="21" t="s">
        <v>550</v>
      </c>
      <c r="E207" s="22">
        <v>43831</v>
      </c>
      <c r="F207" s="21" t="s">
        <v>481</v>
      </c>
      <c r="G207" s="21" t="s">
        <v>525</v>
      </c>
      <c r="H207" s="21" t="s">
        <v>520</v>
      </c>
      <c r="I207" s="5" t="s">
        <v>661</v>
      </c>
      <c r="J207" s="21" t="s">
        <v>532</v>
      </c>
      <c r="K207" s="21" t="s">
        <v>540</v>
      </c>
      <c r="L207" s="23">
        <v>87703</v>
      </c>
      <c r="M207" s="23" t="s">
        <v>673</v>
      </c>
      <c r="N207" s="23">
        <v>58000</v>
      </c>
      <c r="O207" s="23">
        <v>75000</v>
      </c>
      <c r="P207" s="23">
        <v>87000</v>
      </c>
      <c r="Q207" s="24">
        <f>Table13[[#This Row],[Monthly Gross Salary]]/Table13[[#This Row],[Mid]]</f>
        <v>1.1693733333333334</v>
      </c>
      <c r="R207" s="23" t="str">
        <f t="shared" si="6"/>
        <v>High</v>
      </c>
      <c r="S207" s="23">
        <v>3</v>
      </c>
      <c r="T207" s="25">
        <f>INDEX('Merit Matrix'!$B$4:$F$8,
       MATCH($S207,'Merit Matrix'!$A$4:$A$8,0),
       MATCH(TRIM($R207),'Merit Matrix'!$B$3:$F$3,0))</f>
        <v>0.01</v>
      </c>
      <c r="U207" s="24">
        <f>Table13[[#This Row],[Salary increase %]]*Table13[[#This Row],[Monthly Gross Salary]]</f>
        <v>877.03</v>
      </c>
      <c r="V207" s="23">
        <f>Table13[[#This Row],[Salary increase Amount]]+Table13[[#This Row],[Monthly Gross Salary]]</f>
        <v>88580.03</v>
      </c>
      <c r="W207" s="75">
        <v>0.2</v>
      </c>
      <c r="X207" s="6">
        <f>Table13[[#This Row],[New Gross Salary]]*Table13[[#This Row],[STI %]]</f>
        <v>17716.006000000001</v>
      </c>
      <c r="Y207" s="96">
        <v>1</v>
      </c>
      <c r="Z207" s="6">
        <f>Table13[[#This Row],[Target STI]]*Table13[[#This Row],[Multiplier]]</f>
        <v>17716.006000000001</v>
      </c>
      <c r="AA207" s="26">
        <v>0.32</v>
      </c>
      <c r="AB207" s="21" t="s">
        <v>18</v>
      </c>
      <c r="AC207" s="24">
        <f>(Table13[[#This Row],[New Gross Salary]]+Table13[[#This Row],[Final STI]])*Table13[[#This Row],[Tax %]]</f>
        <v>34014.731520000001</v>
      </c>
      <c r="AD207" s="24">
        <f>Table13[[#This Row],[New Gross Salary]]*5%</f>
        <v>4429.0015000000003</v>
      </c>
      <c r="AE207" s="21" cm="1">
        <f t="array" ref="AE207">_xlfn.XLOOKUP(AB207,{"A","B","C"},{500,800,1200})</f>
        <v>500</v>
      </c>
      <c r="AF207" s="24">
        <f t="shared" si="7"/>
        <v>38943.73302</v>
      </c>
      <c r="AG207" s="27">
        <f>Table13[[#This Row],[New Gross Salary]]+Table13[[#This Row],[Final STI]]-Table13[[#This Row],[Total Deductions
(Tax+Pension+HP)]]</f>
        <v>67352.302979999993</v>
      </c>
    </row>
    <row r="208" spans="1:33" x14ac:dyDescent="0.2">
      <c r="A208" s="20">
        <v>1207</v>
      </c>
      <c r="B208" s="21" t="s">
        <v>219</v>
      </c>
      <c r="C208" s="21" t="s">
        <v>5</v>
      </c>
      <c r="D208" s="21" t="s">
        <v>550</v>
      </c>
      <c r="E208" s="22">
        <v>43831</v>
      </c>
      <c r="F208" s="21" t="s">
        <v>482</v>
      </c>
      <c r="G208" s="21" t="s">
        <v>525</v>
      </c>
      <c r="H208" s="21" t="s">
        <v>520</v>
      </c>
      <c r="I208" s="5" t="s">
        <v>661</v>
      </c>
      <c r="J208" s="21" t="s">
        <v>532</v>
      </c>
      <c r="K208" s="21" t="s">
        <v>540</v>
      </c>
      <c r="L208" s="23">
        <v>88313</v>
      </c>
      <c r="M208" s="23" t="s">
        <v>673</v>
      </c>
      <c r="N208" s="23">
        <v>58000</v>
      </c>
      <c r="O208" s="23">
        <v>75000</v>
      </c>
      <c r="P208" s="23">
        <v>87000</v>
      </c>
      <c r="Q208" s="24">
        <f>Table13[[#This Row],[Monthly Gross Salary]]/Table13[[#This Row],[Mid]]</f>
        <v>1.1775066666666667</v>
      </c>
      <c r="R208" s="23" t="str">
        <f t="shared" si="6"/>
        <v>High</v>
      </c>
      <c r="S208" s="23">
        <v>3</v>
      </c>
      <c r="T208" s="25">
        <f>INDEX('Merit Matrix'!$B$4:$F$8,
       MATCH($S208,'Merit Matrix'!$A$4:$A$8,0),
       MATCH(TRIM($R208),'Merit Matrix'!$B$3:$F$3,0))</f>
        <v>0.01</v>
      </c>
      <c r="U208" s="24">
        <f>Table13[[#This Row],[Salary increase %]]*Table13[[#This Row],[Monthly Gross Salary]]</f>
        <v>883.13</v>
      </c>
      <c r="V208" s="23">
        <f>Table13[[#This Row],[Salary increase Amount]]+Table13[[#This Row],[Monthly Gross Salary]]</f>
        <v>89196.13</v>
      </c>
      <c r="W208" s="75">
        <v>0.2</v>
      </c>
      <c r="X208" s="6">
        <f>Table13[[#This Row],[New Gross Salary]]*Table13[[#This Row],[STI %]]</f>
        <v>17839.226000000002</v>
      </c>
      <c r="Y208" s="96">
        <v>1</v>
      </c>
      <c r="Z208" s="6">
        <f>Table13[[#This Row],[Target STI]]*Table13[[#This Row],[Multiplier]]</f>
        <v>17839.226000000002</v>
      </c>
      <c r="AA208" s="26">
        <v>0.32</v>
      </c>
      <c r="AB208" s="21" t="s">
        <v>6</v>
      </c>
      <c r="AC208" s="24">
        <f>(Table13[[#This Row],[New Gross Salary]]+Table13[[#This Row],[Final STI]])*Table13[[#This Row],[Tax %]]</f>
        <v>34251.313920000001</v>
      </c>
      <c r="AD208" s="24">
        <f>Table13[[#This Row],[New Gross Salary]]*5%</f>
        <v>4459.8065000000006</v>
      </c>
      <c r="AE208" s="21" cm="1">
        <f t="array" ref="AE208">_xlfn.XLOOKUP(AB208,{"A","B","C"},{500,800,1200})</f>
        <v>1200</v>
      </c>
      <c r="AF208" s="24">
        <f t="shared" si="7"/>
        <v>39911.120419999999</v>
      </c>
      <c r="AG208" s="27">
        <f>Table13[[#This Row],[New Gross Salary]]+Table13[[#This Row],[Final STI]]-Table13[[#This Row],[Total Deductions
(Tax+Pension+HP)]]</f>
        <v>67124.235580000008</v>
      </c>
    </row>
    <row r="209" spans="1:33" x14ac:dyDescent="0.2">
      <c r="A209" s="20">
        <v>1208</v>
      </c>
      <c r="B209" s="21" t="s">
        <v>220</v>
      </c>
      <c r="C209" s="21" t="s">
        <v>5</v>
      </c>
      <c r="D209" s="21" t="s">
        <v>550</v>
      </c>
      <c r="E209" s="22">
        <v>43831</v>
      </c>
      <c r="F209" s="21" t="s">
        <v>483</v>
      </c>
      <c r="G209" s="21" t="s">
        <v>525</v>
      </c>
      <c r="H209" s="21" t="s">
        <v>520</v>
      </c>
      <c r="I209" s="5" t="s">
        <v>661</v>
      </c>
      <c r="J209" s="21" t="s">
        <v>532</v>
      </c>
      <c r="K209" s="21" t="s">
        <v>540</v>
      </c>
      <c r="L209" s="23">
        <v>88313</v>
      </c>
      <c r="M209" s="23" t="s">
        <v>673</v>
      </c>
      <c r="N209" s="23">
        <v>58000</v>
      </c>
      <c r="O209" s="23">
        <v>75000</v>
      </c>
      <c r="P209" s="23">
        <v>87000</v>
      </c>
      <c r="Q209" s="24">
        <f>Table13[[#This Row],[Monthly Gross Salary]]/Table13[[#This Row],[Mid]]</f>
        <v>1.1775066666666667</v>
      </c>
      <c r="R209" s="23" t="str">
        <f t="shared" si="6"/>
        <v>High</v>
      </c>
      <c r="S209" s="23">
        <v>3</v>
      </c>
      <c r="T209" s="25">
        <f>INDEX('Merit Matrix'!$B$4:$F$8,
       MATCH($S209,'Merit Matrix'!$A$4:$A$8,0),
       MATCH(TRIM($R209),'Merit Matrix'!$B$3:$F$3,0))</f>
        <v>0.01</v>
      </c>
      <c r="U209" s="24">
        <f>Table13[[#This Row],[Salary increase %]]*Table13[[#This Row],[Monthly Gross Salary]]</f>
        <v>883.13</v>
      </c>
      <c r="V209" s="23">
        <f>Table13[[#This Row],[Salary increase Amount]]+Table13[[#This Row],[Monthly Gross Salary]]</f>
        <v>89196.13</v>
      </c>
      <c r="W209" s="75">
        <v>0.2</v>
      </c>
      <c r="X209" s="6">
        <f>Table13[[#This Row],[New Gross Salary]]*Table13[[#This Row],[STI %]]</f>
        <v>17839.226000000002</v>
      </c>
      <c r="Y209" s="96">
        <v>1</v>
      </c>
      <c r="Z209" s="6">
        <f>Table13[[#This Row],[Target STI]]*Table13[[#This Row],[Multiplier]]</f>
        <v>17839.226000000002</v>
      </c>
      <c r="AA209" s="26">
        <v>0.32</v>
      </c>
      <c r="AB209" s="21" t="s">
        <v>6</v>
      </c>
      <c r="AC209" s="24">
        <f>(Table13[[#This Row],[New Gross Salary]]+Table13[[#This Row],[Final STI]])*Table13[[#This Row],[Tax %]]</f>
        <v>34251.313920000001</v>
      </c>
      <c r="AD209" s="24">
        <f>Table13[[#This Row],[New Gross Salary]]*5%</f>
        <v>4459.8065000000006</v>
      </c>
      <c r="AE209" s="21" cm="1">
        <f t="array" ref="AE209">_xlfn.XLOOKUP(AB209,{"A","B","C"},{500,800,1200})</f>
        <v>1200</v>
      </c>
      <c r="AF209" s="24">
        <f t="shared" si="7"/>
        <v>39911.120419999999</v>
      </c>
      <c r="AG209" s="27">
        <f>Table13[[#This Row],[New Gross Salary]]+Table13[[#This Row],[Final STI]]-Table13[[#This Row],[Total Deductions
(Tax+Pension+HP)]]</f>
        <v>67124.235580000008</v>
      </c>
    </row>
    <row r="210" spans="1:33" x14ac:dyDescent="0.2">
      <c r="A210" s="20">
        <v>1209</v>
      </c>
      <c r="B210" s="21" t="s">
        <v>221</v>
      </c>
      <c r="C210" s="21" t="s">
        <v>42</v>
      </c>
      <c r="D210" s="21" t="s">
        <v>556</v>
      </c>
      <c r="E210" s="22">
        <v>43831</v>
      </c>
      <c r="F210" s="21" t="s">
        <v>484</v>
      </c>
      <c r="G210" s="21" t="s">
        <v>525</v>
      </c>
      <c r="H210" s="21" t="s">
        <v>520</v>
      </c>
      <c r="I210" s="5" t="s">
        <v>661</v>
      </c>
      <c r="J210" s="21" t="s">
        <v>532</v>
      </c>
      <c r="K210" s="21" t="s">
        <v>539</v>
      </c>
      <c r="L210" s="23">
        <v>73100</v>
      </c>
      <c r="M210" s="23" t="s">
        <v>673</v>
      </c>
      <c r="N210" s="23">
        <v>55000</v>
      </c>
      <c r="O210" s="23">
        <v>75000</v>
      </c>
      <c r="P210" s="23">
        <v>85000</v>
      </c>
      <c r="Q210" s="24">
        <f>Table13[[#This Row],[Monthly Gross Salary]]/Table13[[#This Row],[Mid]]</f>
        <v>0.97466666666666668</v>
      </c>
      <c r="R210" s="23" t="str">
        <f t="shared" si="6"/>
        <v>Around Mid</v>
      </c>
      <c r="S210" s="23">
        <v>3</v>
      </c>
      <c r="T210" s="25">
        <f>INDEX('Merit Matrix'!$B$4:$F$8,
       MATCH($S210,'Merit Matrix'!$A$4:$A$8,0),
       MATCH(TRIM($R210),'Merit Matrix'!$B$3:$F$3,0))</f>
        <v>2.5000000000000001E-2</v>
      </c>
      <c r="U210" s="24">
        <f>Table13[[#This Row],[Salary increase %]]*Table13[[#This Row],[Monthly Gross Salary]]</f>
        <v>1827.5</v>
      </c>
      <c r="V210" s="23">
        <f>Table13[[#This Row],[Salary increase Amount]]+Table13[[#This Row],[Monthly Gross Salary]]</f>
        <v>74927.5</v>
      </c>
      <c r="W210" s="75">
        <v>0.2</v>
      </c>
      <c r="X210" s="6">
        <f>Table13[[#This Row],[New Gross Salary]]*Table13[[#This Row],[STI %]]</f>
        <v>14985.5</v>
      </c>
      <c r="Y210" s="96">
        <v>1</v>
      </c>
      <c r="Z210" s="6">
        <f>Table13[[#This Row],[Target STI]]*Table13[[#This Row],[Multiplier]]</f>
        <v>14985.5</v>
      </c>
      <c r="AA210" s="26">
        <v>0.31</v>
      </c>
      <c r="AB210" s="21" t="s">
        <v>6</v>
      </c>
      <c r="AC210" s="24">
        <f>(Table13[[#This Row],[New Gross Salary]]+Table13[[#This Row],[Final STI]])*Table13[[#This Row],[Tax %]]</f>
        <v>27873.03</v>
      </c>
      <c r="AD210" s="24">
        <f>Table13[[#This Row],[New Gross Salary]]*5%</f>
        <v>3746.375</v>
      </c>
      <c r="AE210" s="21" cm="1">
        <f t="array" ref="AE210">_xlfn.XLOOKUP(AB210,{"A","B","C"},{500,800,1200})</f>
        <v>1200</v>
      </c>
      <c r="AF210" s="24">
        <f t="shared" si="7"/>
        <v>32819.404999999999</v>
      </c>
      <c r="AG210" s="27">
        <f>Table13[[#This Row],[New Gross Salary]]+Table13[[#This Row],[Final STI]]-Table13[[#This Row],[Total Deductions
(Tax+Pension+HP)]]</f>
        <v>57093.595000000001</v>
      </c>
    </row>
    <row r="211" spans="1:33" x14ac:dyDescent="0.2">
      <c r="A211" s="20">
        <v>1210</v>
      </c>
      <c r="B211" s="21" t="s">
        <v>222</v>
      </c>
      <c r="C211" s="21" t="s">
        <v>42</v>
      </c>
      <c r="D211" s="21" t="s">
        <v>556</v>
      </c>
      <c r="E211" s="22">
        <v>43831</v>
      </c>
      <c r="F211" s="21" t="s">
        <v>485</v>
      </c>
      <c r="G211" s="21" t="s">
        <v>525</v>
      </c>
      <c r="H211" s="21" t="s">
        <v>520</v>
      </c>
      <c r="I211" s="5" t="s">
        <v>661</v>
      </c>
      <c r="J211" s="21" t="s">
        <v>532</v>
      </c>
      <c r="K211" s="21" t="s">
        <v>539</v>
      </c>
      <c r="L211" s="23">
        <v>73100</v>
      </c>
      <c r="M211" s="23" t="s">
        <v>673</v>
      </c>
      <c r="N211" s="23">
        <v>55000</v>
      </c>
      <c r="O211" s="23">
        <v>75000</v>
      </c>
      <c r="P211" s="23">
        <v>85000</v>
      </c>
      <c r="Q211" s="24">
        <f>Table13[[#This Row],[Monthly Gross Salary]]/Table13[[#This Row],[Mid]]</f>
        <v>0.97466666666666668</v>
      </c>
      <c r="R211" s="23" t="str">
        <f t="shared" si="6"/>
        <v>Around Mid</v>
      </c>
      <c r="S211" s="23">
        <v>3</v>
      </c>
      <c r="T211" s="25">
        <f>INDEX('Merit Matrix'!$B$4:$F$8,
       MATCH($S211,'Merit Matrix'!$A$4:$A$8,0),
       MATCH(TRIM($R211),'Merit Matrix'!$B$3:$F$3,0))</f>
        <v>2.5000000000000001E-2</v>
      </c>
      <c r="U211" s="24">
        <f>Table13[[#This Row],[Salary increase %]]*Table13[[#This Row],[Monthly Gross Salary]]</f>
        <v>1827.5</v>
      </c>
      <c r="V211" s="23">
        <f>Table13[[#This Row],[Salary increase Amount]]+Table13[[#This Row],[Monthly Gross Salary]]</f>
        <v>74927.5</v>
      </c>
      <c r="W211" s="75">
        <v>0.2</v>
      </c>
      <c r="X211" s="6">
        <f>Table13[[#This Row],[New Gross Salary]]*Table13[[#This Row],[STI %]]</f>
        <v>14985.5</v>
      </c>
      <c r="Y211" s="96">
        <v>1</v>
      </c>
      <c r="Z211" s="6">
        <f>Table13[[#This Row],[Target STI]]*Table13[[#This Row],[Multiplier]]</f>
        <v>14985.5</v>
      </c>
      <c r="AA211" s="26">
        <v>0.32</v>
      </c>
      <c r="AB211" s="21" t="s">
        <v>6</v>
      </c>
      <c r="AC211" s="24">
        <f>(Table13[[#This Row],[New Gross Salary]]+Table13[[#This Row],[Final STI]])*Table13[[#This Row],[Tax %]]</f>
        <v>28772.16</v>
      </c>
      <c r="AD211" s="24">
        <f>Table13[[#This Row],[New Gross Salary]]*5%</f>
        <v>3746.375</v>
      </c>
      <c r="AE211" s="21" cm="1">
        <f t="array" ref="AE211">_xlfn.XLOOKUP(AB211,{"A","B","C"},{500,800,1200})</f>
        <v>1200</v>
      </c>
      <c r="AF211" s="24">
        <f t="shared" si="7"/>
        <v>33718.535000000003</v>
      </c>
      <c r="AG211" s="27">
        <f>Table13[[#This Row],[New Gross Salary]]+Table13[[#This Row],[Final STI]]-Table13[[#This Row],[Total Deductions
(Tax+Pension+HP)]]</f>
        <v>56194.464999999997</v>
      </c>
    </row>
    <row r="212" spans="1:33" x14ac:dyDescent="0.2">
      <c r="A212" s="20">
        <v>1211</v>
      </c>
      <c r="B212" s="21" t="s">
        <v>223</v>
      </c>
      <c r="C212" s="21" t="s">
        <v>5</v>
      </c>
      <c r="D212" s="21" t="s">
        <v>550</v>
      </c>
      <c r="E212" s="22">
        <v>43831</v>
      </c>
      <c r="F212" s="21" t="s">
        <v>486</v>
      </c>
      <c r="G212" s="21" t="s">
        <v>525</v>
      </c>
      <c r="H212" s="21" t="s">
        <v>520</v>
      </c>
      <c r="I212" s="5" t="s">
        <v>661</v>
      </c>
      <c r="J212" s="21" t="s">
        <v>532</v>
      </c>
      <c r="K212" s="21" t="s">
        <v>540</v>
      </c>
      <c r="L212" s="23">
        <v>88313</v>
      </c>
      <c r="M212" s="23" t="s">
        <v>673</v>
      </c>
      <c r="N212" s="23">
        <v>58000</v>
      </c>
      <c r="O212" s="23">
        <v>75000</v>
      </c>
      <c r="P212" s="23">
        <v>87000</v>
      </c>
      <c r="Q212" s="24">
        <f>Table13[[#This Row],[Monthly Gross Salary]]/Table13[[#This Row],[Mid]]</f>
        <v>1.1775066666666667</v>
      </c>
      <c r="R212" s="23" t="str">
        <f t="shared" si="6"/>
        <v>High</v>
      </c>
      <c r="S212" s="23">
        <v>3</v>
      </c>
      <c r="T212" s="25">
        <f>INDEX('Merit Matrix'!$B$4:$F$8,
       MATCH($S212,'Merit Matrix'!$A$4:$A$8,0),
       MATCH(TRIM($R212),'Merit Matrix'!$B$3:$F$3,0))</f>
        <v>0.01</v>
      </c>
      <c r="U212" s="24">
        <f>Table13[[#This Row],[Salary increase %]]*Table13[[#This Row],[Monthly Gross Salary]]</f>
        <v>883.13</v>
      </c>
      <c r="V212" s="23">
        <f>Table13[[#This Row],[Salary increase Amount]]+Table13[[#This Row],[Monthly Gross Salary]]</f>
        <v>89196.13</v>
      </c>
      <c r="W212" s="75">
        <v>0.2</v>
      </c>
      <c r="X212" s="6">
        <f>Table13[[#This Row],[New Gross Salary]]*Table13[[#This Row],[STI %]]</f>
        <v>17839.226000000002</v>
      </c>
      <c r="Y212" s="96">
        <v>1</v>
      </c>
      <c r="Z212" s="6">
        <f>Table13[[#This Row],[Target STI]]*Table13[[#This Row],[Multiplier]]</f>
        <v>17839.226000000002</v>
      </c>
      <c r="AA212" s="26">
        <v>0.32</v>
      </c>
      <c r="AB212" s="21" t="s">
        <v>6</v>
      </c>
      <c r="AC212" s="24">
        <f>(Table13[[#This Row],[New Gross Salary]]+Table13[[#This Row],[Final STI]])*Table13[[#This Row],[Tax %]]</f>
        <v>34251.313920000001</v>
      </c>
      <c r="AD212" s="24">
        <f>Table13[[#This Row],[New Gross Salary]]*5%</f>
        <v>4459.8065000000006</v>
      </c>
      <c r="AE212" s="21" cm="1">
        <f t="array" ref="AE212">_xlfn.XLOOKUP(AB212,{"A","B","C"},{500,800,1200})</f>
        <v>1200</v>
      </c>
      <c r="AF212" s="24">
        <f t="shared" si="7"/>
        <v>39911.120419999999</v>
      </c>
      <c r="AG212" s="27">
        <f>Table13[[#This Row],[New Gross Salary]]+Table13[[#This Row],[Final STI]]-Table13[[#This Row],[Total Deductions
(Tax+Pension+HP)]]</f>
        <v>67124.235580000008</v>
      </c>
    </row>
    <row r="213" spans="1:33" x14ac:dyDescent="0.2">
      <c r="A213" s="20">
        <v>1212</v>
      </c>
      <c r="B213" s="21" t="s">
        <v>224</v>
      </c>
      <c r="C213" s="21" t="s">
        <v>11</v>
      </c>
      <c r="D213" s="21" t="s">
        <v>531</v>
      </c>
      <c r="E213" s="22">
        <v>44562</v>
      </c>
      <c r="F213" s="21" t="s">
        <v>487</v>
      </c>
      <c r="G213" s="21" t="s">
        <v>525</v>
      </c>
      <c r="H213" s="21" t="s">
        <v>520</v>
      </c>
      <c r="I213" s="5" t="s">
        <v>661</v>
      </c>
      <c r="J213" s="21" t="s">
        <v>533</v>
      </c>
      <c r="K213" s="21" t="s">
        <v>537</v>
      </c>
      <c r="L213" s="23">
        <v>43261</v>
      </c>
      <c r="M213" s="23" t="s">
        <v>673</v>
      </c>
      <c r="N213" s="23">
        <v>35000</v>
      </c>
      <c r="O213" s="23">
        <v>40000</v>
      </c>
      <c r="P213" s="23">
        <v>45000</v>
      </c>
      <c r="Q213" s="24">
        <f>Table13[[#This Row],[Monthly Gross Salary]]/Table13[[#This Row],[Mid]]</f>
        <v>1.0815250000000001</v>
      </c>
      <c r="R213" s="23" t="str">
        <f t="shared" si="6"/>
        <v>Above Mid</v>
      </c>
      <c r="S213" s="23">
        <v>3</v>
      </c>
      <c r="T213" s="25">
        <f>INDEX('Merit Matrix'!$B$4:$F$8,
       MATCH($S213,'Merit Matrix'!$A$4:$A$8,0),
       MATCH(TRIM($R213),'Merit Matrix'!$B$3:$F$3,0))</f>
        <v>0.02</v>
      </c>
      <c r="U213" s="24">
        <f>Table13[[#This Row],[Salary increase %]]*Table13[[#This Row],[Monthly Gross Salary]]</f>
        <v>865.22</v>
      </c>
      <c r="V213" s="23">
        <f>Table13[[#This Row],[Salary increase Amount]]+Table13[[#This Row],[Monthly Gross Salary]]</f>
        <v>44126.22</v>
      </c>
      <c r="W213" s="75">
        <v>0.1</v>
      </c>
      <c r="X213" s="6">
        <f>Table13[[#This Row],[New Gross Salary]]*Table13[[#This Row],[STI %]]</f>
        <v>4412.6220000000003</v>
      </c>
      <c r="Y213" s="96">
        <v>1</v>
      </c>
      <c r="Z213" s="6">
        <f>Table13[[#This Row],[Target STI]]*Table13[[#This Row],[Multiplier]]</f>
        <v>4412.6220000000003</v>
      </c>
      <c r="AA213" s="26">
        <v>0.3</v>
      </c>
      <c r="AB213" s="21" t="s">
        <v>6</v>
      </c>
      <c r="AC213" s="24">
        <f>(Table13[[#This Row],[New Gross Salary]]+Table13[[#This Row],[Final STI]])*Table13[[#This Row],[Tax %]]</f>
        <v>14561.652600000001</v>
      </c>
      <c r="AD213" s="24">
        <f>Table13[[#This Row],[New Gross Salary]]*5%</f>
        <v>2206.3110000000001</v>
      </c>
      <c r="AE213" s="21" cm="1">
        <f t="array" ref="AE213">_xlfn.XLOOKUP(AB213,{"A","B","C"},{500,800,1200})</f>
        <v>1200</v>
      </c>
      <c r="AF213" s="24">
        <f t="shared" si="7"/>
        <v>17967.963600000003</v>
      </c>
      <c r="AG213" s="27">
        <f>Table13[[#This Row],[New Gross Salary]]+Table13[[#This Row],[Final STI]]-Table13[[#This Row],[Total Deductions
(Tax+Pension+HP)]]</f>
        <v>30570.878400000001</v>
      </c>
    </row>
    <row r="214" spans="1:33" x14ac:dyDescent="0.2">
      <c r="A214" s="20">
        <v>1213</v>
      </c>
      <c r="B214" s="21" t="s">
        <v>225</v>
      </c>
      <c r="C214" s="21" t="s">
        <v>11</v>
      </c>
      <c r="D214" s="21" t="s">
        <v>531</v>
      </c>
      <c r="E214" s="22">
        <v>44562</v>
      </c>
      <c r="F214" s="21" t="s">
        <v>488</v>
      </c>
      <c r="G214" s="21" t="s">
        <v>525</v>
      </c>
      <c r="H214" s="21" t="s">
        <v>520</v>
      </c>
      <c r="I214" s="5" t="s">
        <v>661</v>
      </c>
      <c r="J214" s="21" t="s">
        <v>533</v>
      </c>
      <c r="K214" s="21" t="s">
        <v>537</v>
      </c>
      <c r="L214" s="23">
        <v>43261</v>
      </c>
      <c r="M214" s="23" t="s">
        <v>673</v>
      </c>
      <c r="N214" s="23">
        <v>35000</v>
      </c>
      <c r="O214" s="23">
        <v>40000</v>
      </c>
      <c r="P214" s="23">
        <v>45000</v>
      </c>
      <c r="Q214" s="24">
        <f>Table13[[#This Row],[Monthly Gross Salary]]/Table13[[#This Row],[Mid]]</f>
        <v>1.0815250000000001</v>
      </c>
      <c r="R214" s="23" t="str">
        <f t="shared" si="6"/>
        <v>Above Mid</v>
      </c>
      <c r="S214" s="23">
        <v>3</v>
      </c>
      <c r="T214" s="25">
        <f>INDEX('Merit Matrix'!$B$4:$F$8,
       MATCH($S214,'Merit Matrix'!$A$4:$A$8,0),
       MATCH(TRIM($R214),'Merit Matrix'!$B$3:$F$3,0))</f>
        <v>0.02</v>
      </c>
      <c r="U214" s="24">
        <f>Table13[[#This Row],[Salary increase %]]*Table13[[#This Row],[Monthly Gross Salary]]</f>
        <v>865.22</v>
      </c>
      <c r="V214" s="23">
        <f>Table13[[#This Row],[Salary increase Amount]]+Table13[[#This Row],[Monthly Gross Salary]]</f>
        <v>44126.22</v>
      </c>
      <c r="W214" s="75">
        <v>0.1</v>
      </c>
      <c r="X214" s="6">
        <f>Table13[[#This Row],[New Gross Salary]]*Table13[[#This Row],[STI %]]</f>
        <v>4412.6220000000003</v>
      </c>
      <c r="Y214" s="96">
        <v>1</v>
      </c>
      <c r="Z214" s="6">
        <f>Table13[[#This Row],[Target STI]]*Table13[[#This Row],[Multiplier]]</f>
        <v>4412.6220000000003</v>
      </c>
      <c r="AA214" s="26">
        <v>0.32</v>
      </c>
      <c r="AB214" s="21" t="s">
        <v>9</v>
      </c>
      <c r="AC214" s="24">
        <f>(Table13[[#This Row],[New Gross Salary]]+Table13[[#This Row],[Final STI]])*Table13[[#This Row],[Tax %]]</f>
        <v>15532.429440000002</v>
      </c>
      <c r="AD214" s="24">
        <f>Table13[[#This Row],[New Gross Salary]]*5%</f>
        <v>2206.3110000000001</v>
      </c>
      <c r="AE214" s="21" cm="1">
        <f t="array" ref="AE214">_xlfn.XLOOKUP(AB214,{"A","B","C"},{500,800,1200})</f>
        <v>800</v>
      </c>
      <c r="AF214" s="24">
        <f t="shared" si="7"/>
        <v>18538.740440000001</v>
      </c>
      <c r="AG214" s="27">
        <f>Table13[[#This Row],[New Gross Salary]]+Table13[[#This Row],[Final STI]]-Table13[[#This Row],[Total Deductions
(Tax+Pension+HP)]]</f>
        <v>30000.101560000003</v>
      </c>
    </row>
    <row r="215" spans="1:33" x14ac:dyDescent="0.2">
      <c r="A215" s="20">
        <v>1214</v>
      </c>
      <c r="B215" s="21" t="s">
        <v>226</v>
      </c>
      <c r="C215" s="21" t="s">
        <v>8</v>
      </c>
      <c r="D215" s="21" t="s">
        <v>544</v>
      </c>
      <c r="E215" s="22">
        <v>44562</v>
      </c>
      <c r="F215" s="21" t="s">
        <v>489</v>
      </c>
      <c r="G215" s="21" t="s">
        <v>525</v>
      </c>
      <c r="H215" s="21" t="s">
        <v>520</v>
      </c>
      <c r="I215" s="5" t="s">
        <v>661</v>
      </c>
      <c r="J215" s="21" t="s">
        <v>535</v>
      </c>
      <c r="K215" s="21" t="s">
        <v>538</v>
      </c>
      <c r="L215" s="23">
        <v>42000</v>
      </c>
      <c r="M215" s="23" t="s">
        <v>673</v>
      </c>
      <c r="N215" s="23">
        <v>38000</v>
      </c>
      <c r="O215" s="23">
        <v>50000</v>
      </c>
      <c r="P215" s="23">
        <v>56000</v>
      </c>
      <c r="Q215" s="24">
        <f>Table13[[#This Row],[Monthly Gross Salary]]/Table13[[#This Row],[Mid]]</f>
        <v>0.84</v>
      </c>
      <c r="R215" s="23" t="str">
        <f t="shared" si="6"/>
        <v>Very Low</v>
      </c>
      <c r="S215" s="23">
        <v>3</v>
      </c>
      <c r="T215" s="25">
        <f>INDEX('Merit Matrix'!$B$4:$F$8,
       MATCH($S215,'Merit Matrix'!$A$4:$A$8,0),
       MATCH(TRIM($R215),'Merit Matrix'!$B$3:$F$3,0))</f>
        <v>0.04</v>
      </c>
      <c r="U215" s="24">
        <f>Table13[[#This Row],[Salary increase %]]*Table13[[#This Row],[Monthly Gross Salary]]</f>
        <v>1680</v>
      </c>
      <c r="V215" s="23">
        <f>Table13[[#This Row],[Salary increase Amount]]+Table13[[#This Row],[Monthly Gross Salary]]</f>
        <v>43680</v>
      </c>
      <c r="W215" s="75">
        <v>0.2</v>
      </c>
      <c r="X215" s="6">
        <f>Table13[[#This Row],[New Gross Salary]]*Table13[[#This Row],[STI %]]</f>
        <v>8736</v>
      </c>
      <c r="Y215" s="96">
        <v>1</v>
      </c>
      <c r="Z215" s="6">
        <f>Table13[[#This Row],[Target STI]]*Table13[[#This Row],[Multiplier]]</f>
        <v>8736</v>
      </c>
      <c r="AA215" s="26">
        <v>0.28999999999999998</v>
      </c>
      <c r="AB215" s="21" t="s">
        <v>6</v>
      </c>
      <c r="AC215" s="24">
        <f>(Table13[[#This Row],[New Gross Salary]]+Table13[[#This Row],[Final STI]])*Table13[[#This Row],[Tax %]]</f>
        <v>15200.64</v>
      </c>
      <c r="AD215" s="24">
        <f>Table13[[#This Row],[New Gross Salary]]*5%</f>
        <v>2184</v>
      </c>
      <c r="AE215" s="21" cm="1">
        <f t="array" ref="AE215">_xlfn.XLOOKUP(AB215,{"A","B","C"},{500,800,1200})</f>
        <v>1200</v>
      </c>
      <c r="AF215" s="24">
        <f t="shared" si="7"/>
        <v>18584.64</v>
      </c>
      <c r="AG215" s="27">
        <f>Table13[[#This Row],[New Gross Salary]]+Table13[[#This Row],[Final STI]]-Table13[[#This Row],[Total Deductions
(Tax+Pension+HP)]]</f>
        <v>33831.360000000001</v>
      </c>
    </row>
    <row r="216" spans="1:33" x14ac:dyDescent="0.2">
      <c r="A216" s="20">
        <v>1215</v>
      </c>
      <c r="B216" s="21" t="s">
        <v>227</v>
      </c>
      <c r="C216" s="21" t="s">
        <v>11</v>
      </c>
      <c r="D216" s="21" t="s">
        <v>531</v>
      </c>
      <c r="E216" s="22">
        <v>44562</v>
      </c>
      <c r="F216" s="21" t="s">
        <v>490</v>
      </c>
      <c r="G216" s="21" t="s">
        <v>525</v>
      </c>
      <c r="H216" s="21" t="s">
        <v>520</v>
      </c>
      <c r="I216" s="5" t="s">
        <v>661</v>
      </c>
      <c r="J216" s="21" t="s">
        <v>533</v>
      </c>
      <c r="K216" s="21" t="s">
        <v>537</v>
      </c>
      <c r="L216" s="23">
        <v>42000</v>
      </c>
      <c r="M216" s="23" t="s">
        <v>673</v>
      </c>
      <c r="N216" s="23">
        <v>35000</v>
      </c>
      <c r="O216" s="23">
        <v>40000</v>
      </c>
      <c r="P216" s="23">
        <v>45000</v>
      </c>
      <c r="Q216" s="24">
        <f>Table13[[#This Row],[Monthly Gross Salary]]/Table13[[#This Row],[Mid]]</f>
        <v>1.05</v>
      </c>
      <c r="R216" s="23" t="str">
        <f t="shared" si="6"/>
        <v>Around Mid</v>
      </c>
      <c r="S216" s="23">
        <v>3</v>
      </c>
      <c r="T216" s="25">
        <f>INDEX('Merit Matrix'!$B$4:$F$8,
       MATCH($S216,'Merit Matrix'!$A$4:$A$8,0),
       MATCH(TRIM($R216),'Merit Matrix'!$B$3:$F$3,0))</f>
        <v>2.5000000000000001E-2</v>
      </c>
      <c r="U216" s="24">
        <f>Table13[[#This Row],[Salary increase %]]*Table13[[#This Row],[Monthly Gross Salary]]</f>
        <v>1050</v>
      </c>
      <c r="V216" s="23">
        <f>Table13[[#This Row],[Salary increase Amount]]+Table13[[#This Row],[Monthly Gross Salary]]</f>
        <v>43050</v>
      </c>
      <c r="W216" s="75">
        <v>0.1</v>
      </c>
      <c r="X216" s="6">
        <f>Table13[[#This Row],[New Gross Salary]]*Table13[[#This Row],[STI %]]</f>
        <v>4305</v>
      </c>
      <c r="Y216" s="96">
        <v>1</v>
      </c>
      <c r="Z216" s="6">
        <f>Table13[[#This Row],[Target STI]]*Table13[[#This Row],[Multiplier]]</f>
        <v>4305</v>
      </c>
      <c r="AA216" s="26">
        <v>0.27</v>
      </c>
      <c r="AB216" s="21" t="s">
        <v>18</v>
      </c>
      <c r="AC216" s="24">
        <f>(Table13[[#This Row],[New Gross Salary]]+Table13[[#This Row],[Final STI]])*Table13[[#This Row],[Tax %]]</f>
        <v>12785.85</v>
      </c>
      <c r="AD216" s="24">
        <f>Table13[[#This Row],[New Gross Salary]]*5%</f>
        <v>2152.5</v>
      </c>
      <c r="AE216" s="21" cm="1">
        <f t="array" ref="AE216">_xlfn.XLOOKUP(AB216,{"A","B","C"},{500,800,1200})</f>
        <v>500</v>
      </c>
      <c r="AF216" s="24">
        <f t="shared" si="7"/>
        <v>15438.35</v>
      </c>
      <c r="AG216" s="27">
        <f>Table13[[#This Row],[New Gross Salary]]+Table13[[#This Row],[Final STI]]-Table13[[#This Row],[Total Deductions
(Tax+Pension+HP)]]</f>
        <v>31916.65</v>
      </c>
    </row>
    <row r="217" spans="1:33" x14ac:dyDescent="0.2">
      <c r="A217" s="20">
        <v>1216</v>
      </c>
      <c r="B217" s="21" t="s">
        <v>228</v>
      </c>
      <c r="C217" s="21" t="s">
        <v>17</v>
      </c>
      <c r="D217" s="21" t="s">
        <v>560</v>
      </c>
      <c r="E217" s="22">
        <v>45292</v>
      </c>
      <c r="F217" s="21" t="s">
        <v>491</v>
      </c>
      <c r="G217" s="21" t="s">
        <v>525</v>
      </c>
      <c r="H217" s="21" t="s">
        <v>520</v>
      </c>
      <c r="I217" s="5" t="s">
        <v>661</v>
      </c>
      <c r="J217" s="21" t="s">
        <v>535</v>
      </c>
      <c r="K217" s="21" t="s">
        <v>538</v>
      </c>
      <c r="L217" s="23">
        <v>42000</v>
      </c>
      <c r="M217" s="23" t="s">
        <v>673</v>
      </c>
      <c r="N217" s="23">
        <v>38000</v>
      </c>
      <c r="O217" s="23">
        <v>50000</v>
      </c>
      <c r="P217" s="23">
        <v>56000</v>
      </c>
      <c r="Q217" s="24">
        <f>Table13[[#This Row],[Monthly Gross Salary]]/Table13[[#This Row],[Mid]]</f>
        <v>0.84</v>
      </c>
      <c r="R217" s="23" t="str">
        <f t="shared" si="6"/>
        <v>Very Low</v>
      </c>
      <c r="S217" s="23">
        <v>3</v>
      </c>
      <c r="T217" s="25">
        <f>INDEX('Merit Matrix'!$B$4:$F$8,
       MATCH($S217,'Merit Matrix'!$A$4:$A$8,0),
       MATCH(TRIM($R217),'Merit Matrix'!$B$3:$F$3,0))</f>
        <v>0.04</v>
      </c>
      <c r="U217" s="24">
        <f>Table13[[#This Row],[Salary increase %]]*Table13[[#This Row],[Monthly Gross Salary]]</f>
        <v>1680</v>
      </c>
      <c r="V217" s="23">
        <f>Table13[[#This Row],[Salary increase Amount]]+Table13[[#This Row],[Monthly Gross Salary]]</f>
        <v>43680</v>
      </c>
      <c r="W217" s="75">
        <v>0.15</v>
      </c>
      <c r="X217" s="6">
        <f>Table13[[#This Row],[New Gross Salary]]*Table13[[#This Row],[STI %]]</f>
        <v>6552</v>
      </c>
      <c r="Y217" s="96">
        <v>1</v>
      </c>
      <c r="Z217" s="6">
        <f>Table13[[#This Row],[Target STI]]*Table13[[#This Row],[Multiplier]]</f>
        <v>6552</v>
      </c>
      <c r="AA217" s="26">
        <v>0.3</v>
      </c>
      <c r="AB217" s="21" t="s">
        <v>6</v>
      </c>
      <c r="AC217" s="24">
        <f>(Table13[[#This Row],[New Gross Salary]]+Table13[[#This Row],[Final STI]])*Table13[[#This Row],[Tax %]]</f>
        <v>15069.599999999999</v>
      </c>
      <c r="AD217" s="24">
        <f>Table13[[#This Row],[New Gross Salary]]*5%</f>
        <v>2184</v>
      </c>
      <c r="AE217" s="21" cm="1">
        <f t="array" ref="AE217">_xlfn.XLOOKUP(AB217,{"A","B","C"},{500,800,1200})</f>
        <v>1200</v>
      </c>
      <c r="AF217" s="24">
        <f t="shared" si="7"/>
        <v>18453.599999999999</v>
      </c>
      <c r="AG217" s="27">
        <f>Table13[[#This Row],[New Gross Salary]]+Table13[[#This Row],[Final STI]]-Table13[[#This Row],[Total Deductions
(Tax+Pension+HP)]]</f>
        <v>31778.400000000001</v>
      </c>
    </row>
    <row r="218" spans="1:33" x14ac:dyDescent="0.2">
      <c r="A218" s="20">
        <v>1217</v>
      </c>
      <c r="B218" s="21" t="s">
        <v>229</v>
      </c>
      <c r="C218" s="21" t="s">
        <v>14</v>
      </c>
      <c r="D218" s="21" t="s">
        <v>553</v>
      </c>
      <c r="E218" s="22">
        <v>43831</v>
      </c>
      <c r="F218" s="21" t="s">
        <v>492</v>
      </c>
      <c r="G218" s="21" t="s">
        <v>527</v>
      </c>
      <c r="H218" s="21" t="s">
        <v>520</v>
      </c>
      <c r="I218" s="5" t="s">
        <v>661</v>
      </c>
      <c r="J218" s="21" t="s">
        <v>532</v>
      </c>
      <c r="K218" s="21" t="s">
        <v>540</v>
      </c>
      <c r="L218" s="23">
        <v>88313</v>
      </c>
      <c r="M218" s="23" t="s">
        <v>673</v>
      </c>
      <c r="N218" s="23">
        <v>58000</v>
      </c>
      <c r="O218" s="23">
        <v>75000</v>
      </c>
      <c r="P218" s="23">
        <v>87000</v>
      </c>
      <c r="Q218" s="24">
        <f>Table13[[#This Row],[Monthly Gross Salary]]/Table13[[#This Row],[Mid]]</f>
        <v>1.1775066666666667</v>
      </c>
      <c r="R218" s="23" t="str">
        <f t="shared" si="6"/>
        <v>High</v>
      </c>
      <c r="S218" s="23">
        <v>2</v>
      </c>
      <c r="T218" s="25">
        <f>INDEX('Merit Matrix'!$B$4:$F$8,
       MATCH($S218,'Merit Matrix'!$A$4:$A$8,0),
       MATCH(TRIM($R218),'Merit Matrix'!$B$3:$F$3,0))</f>
        <v>0</v>
      </c>
      <c r="U218" s="24">
        <f>Table13[[#This Row],[Salary increase %]]*Table13[[#This Row],[Monthly Gross Salary]]</f>
        <v>0</v>
      </c>
      <c r="V218" s="23">
        <f>Table13[[#This Row],[Salary increase Amount]]+Table13[[#This Row],[Monthly Gross Salary]]</f>
        <v>88313</v>
      </c>
      <c r="W218" s="75">
        <v>0.2</v>
      </c>
      <c r="X218" s="6">
        <f>Table13[[#This Row],[New Gross Salary]]*Table13[[#This Row],[STI %]]</f>
        <v>17662.600000000002</v>
      </c>
      <c r="Y218" s="96">
        <v>0.5</v>
      </c>
      <c r="Z218" s="6">
        <f>Table13[[#This Row],[Target STI]]*Table13[[#This Row],[Multiplier]]</f>
        <v>8831.3000000000011</v>
      </c>
      <c r="AA218" s="26">
        <v>0.31</v>
      </c>
      <c r="AB218" s="21" t="s">
        <v>18</v>
      </c>
      <c r="AC218" s="24">
        <f>(Table13[[#This Row],[New Gross Salary]]+Table13[[#This Row],[Final STI]])*Table13[[#This Row],[Tax %]]</f>
        <v>30114.733</v>
      </c>
      <c r="AD218" s="24">
        <f>Table13[[#This Row],[New Gross Salary]]*5%</f>
        <v>4415.6500000000005</v>
      </c>
      <c r="AE218" s="21" cm="1">
        <f t="array" ref="AE218">_xlfn.XLOOKUP(AB218,{"A","B","C"},{500,800,1200})</f>
        <v>500</v>
      </c>
      <c r="AF218" s="24">
        <f t="shared" si="7"/>
        <v>35030.383000000002</v>
      </c>
      <c r="AG218" s="27">
        <f>Table13[[#This Row],[New Gross Salary]]+Table13[[#This Row],[Final STI]]-Table13[[#This Row],[Total Deductions
(Tax+Pension+HP)]]</f>
        <v>62113.917000000001</v>
      </c>
    </row>
    <row r="219" spans="1:33" x14ac:dyDescent="0.2">
      <c r="A219" s="20">
        <v>1218</v>
      </c>
      <c r="B219" s="21" t="s">
        <v>230</v>
      </c>
      <c r="C219" s="21" t="s">
        <v>5</v>
      </c>
      <c r="D219" s="21" t="s">
        <v>550</v>
      </c>
      <c r="E219" s="22">
        <v>43831</v>
      </c>
      <c r="F219" s="21" t="s">
        <v>493</v>
      </c>
      <c r="G219" s="21" t="s">
        <v>527</v>
      </c>
      <c r="H219" s="21" t="s">
        <v>520</v>
      </c>
      <c r="I219" s="5" t="s">
        <v>661</v>
      </c>
      <c r="J219" s="21" t="s">
        <v>532</v>
      </c>
      <c r="K219" s="21" t="s">
        <v>540</v>
      </c>
      <c r="L219" s="23">
        <v>88313</v>
      </c>
      <c r="M219" s="23" t="s">
        <v>673</v>
      </c>
      <c r="N219" s="23">
        <v>58000</v>
      </c>
      <c r="O219" s="23">
        <v>75000</v>
      </c>
      <c r="P219" s="23">
        <v>87000</v>
      </c>
      <c r="Q219" s="24">
        <f>Table13[[#This Row],[Monthly Gross Salary]]/Table13[[#This Row],[Mid]]</f>
        <v>1.1775066666666667</v>
      </c>
      <c r="R219" s="23" t="str">
        <f t="shared" si="6"/>
        <v>High</v>
      </c>
      <c r="S219" s="23">
        <v>2</v>
      </c>
      <c r="T219" s="25">
        <f>INDEX('Merit Matrix'!$B$4:$F$8,
       MATCH($S219,'Merit Matrix'!$A$4:$A$8,0),
       MATCH(TRIM($R219),'Merit Matrix'!$B$3:$F$3,0))</f>
        <v>0</v>
      </c>
      <c r="U219" s="24">
        <f>Table13[[#This Row],[Salary increase %]]*Table13[[#This Row],[Monthly Gross Salary]]</f>
        <v>0</v>
      </c>
      <c r="V219" s="23">
        <f>Table13[[#This Row],[Salary increase Amount]]+Table13[[#This Row],[Monthly Gross Salary]]</f>
        <v>88313</v>
      </c>
      <c r="W219" s="75">
        <v>0.2</v>
      </c>
      <c r="X219" s="6">
        <f>Table13[[#This Row],[New Gross Salary]]*Table13[[#This Row],[STI %]]</f>
        <v>17662.600000000002</v>
      </c>
      <c r="Y219" s="96">
        <v>0.5</v>
      </c>
      <c r="Z219" s="6">
        <f>Table13[[#This Row],[Target STI]]*Table13[[#This Row],[Multiplier]]</f>
        <v>8831.3000000000011</v>
      </c>
      <c r="AA219" s="26">
        <v>0.31</v>
      </c>
      <c r="AB219" s="21" t="s">
        <v>18</v>
      </c>
      <c r="AC219" s="24">
        <f>(Table13[[#This Row],[New Gross Salary]]+Table13[[#This Row],[Final STI]])*Table13[[#This Row],[Tax %]]</f>
        <v>30114.733</v>
      </c>
      <c r="AD219" s="24">
        <f>Table13[[#This Row],[New Gross Salary]]*5%</f>
        <v>4415.6500000000005</v>
      </c>
      <c r="AE219" s="21" cm="1">
        <f t="array" ref="AE219">_xlfn.XLOOKUP(AB219,{"A","B","C"},{500,800,1200})</f>
        <v>500</v>
      </c>
      <c r="AF219" s="24">
        <f t="shared" si="7"/>
        <v>35030.383000000002</v>
      </c>
      <c r="AG219" s="27">
        <f>Table13[[#This Row],[New Gross Salary]]+Table13[[#This Row],[Final STI]]-Table13[[#This Row],[Total Deductions
(Tax+Pension+HP)]]</f>
        <v>62113.917000000001</v>
      </c>
    </row>
    <row r="220" spans="1:33" x14ac:dyDescent="0.2">
      <c r="A220" s="20">
        <v>1219</v>
      </c>
      <c r="B220" s="21" t="s">
        <v>231</v>
      </c>
      <c r="C220" s="21" t="s">
        <v>11</v>
      </c>
      <c r="D220" s="21" t="s">
        <v>534</v>
      </c>
      <c r="E220" s="22">
        <v>45292</v>
      </c>
      <c r="F220" s="21" t="s">
        <v>494</v>
      </c>
      <c r="G220" s="21" t="s">
        <v>527</v>
      </c>
      <c r="H220" s="21" t="s">
        <v>520</v>
      </c>
      <c r="I220" s="5" t="s">
        <v>661</v>
      </c>
      <c r="J220" s="21" t="s">
        <v>535</v>
      </c>
      <c r="K220" s="21" t="s">
        <v>538</v>
      </c>
      <c r="L220" s="23">
        <v>42000</v>
      </c>
      <c r="M220" s="23" t="s">
        <v>673</v>
      </c>
      <c r="N220" s="23">
        <v>38000</v>
      </c>
      <c r="O220" s="23">
        <v>50000</v>
      </c>
      <c r="P220" s="23">
        <v>56000</v>
      </c>
      <c r="Q220" s="24">
        <f>Table13[[#This Row],[Monthly Gross Salary]]/Table13[[#This Row],[Mid]]</f>
        <v>0.84</v>
      </c>
      <c r="R220" s="23" t="str">
        <f t="shared" si="6"/>
        <v>Very Low</v>
      </c>
      <c r="S220" s="23">
        <v>2</v>
      </c>
      <c r="T220" s="25">
        <f>INDEX('Merit Matrix'!$B$4:$F$8,
       MATCH($S220,'Merit Matrix'!$A$4:$A$8,0),
       MATCH(TRIM($R220),'Merit Matrix'!$B$3:$F$3,0))</f>
        <v>0.02</v>
      </c>
      <c r="U220" s="24">
        <f>Table13[[#This Row],[Salary increase %]]*Table13[[#This Row],[Monthly Gross Salary]]</f>
        <v>840</v>
      </c>
      <c r="V220" s="23">
        <f>Table13[[#This Row],[Salary increase Amount]]+Table13[[#This Row],[Monthly Gross Salary]]</f>
        <v>42840</v>
      </c>
      <c r="W220" s="75">
        <v>0.15</v>
      </c>
      <c r="X220" s="6">
        <f>Table13[[#This Row],[New Gross Salary]]*Table13[[#This Row],[STI %]]</f>
        <v>6426</v>
      </c>
      <c r="Y220" s="96">
        <v>0.5</v>
      </c>
      <c r="Z220" s="6">
        <f>Table13[[#This Row],[Target STI]]*Table13[[#This Row],[Multiplier]]</f>
        <v>3213</v>
      </c>
      <c r="AA220" s="26">
        <v>0.31</v>
      </c>
      <c r="AB220" s="21" t="s">
        <v>18</v>
      </c>
      <c r="AC220" s="24">
        <f>(Table13[[#This Row],[New Gross Salary]]+Table13[[#This Row],[Final STI]])*Table13[[#This Row],[Tax %]]</f>
        <v>14276.43</v>
      </c>
      <c r="AD220" s="24">
        <f>Table13[[#This Row],[New Gross Salary]]*5%</f>
        <v>2142</v>
      </c>
      <c r="AE220" s="21" cm="1">
        <f t="array" ref="AE220">_xlfn.XLOOKUP(AB220,{"A","B","C"},{500,800,1200})</f>
        <v>500</v>
      </c>
      <c r="AF220" s="24">
        <f t="shared" si="7"/>
        <v>16918.43</v>
      </c>
      <c r="AG220" s="27">
        <f>Table13[[#This Row],[New Gross Salary]]+Table13[[#This Row],[Final STI]]-Table13[[#This Row],[Total Deductions
(Tax+Pension+HP)]]</f>
        <v>29134.57</v>
      </c>
    </row>
    <row r="221" spans="1:33" x14ac:dyDescent="0.2">
      <c r="A221" s="20">
        <v>1220</v>
      </c>
      <c r="B221" s="21" t="s">
        <v>232</v>
      </c>
      <c r="C221" s="21" t="s">
        <v>5</v>
      </c>
      <c r="D221" s="21" t="s">
        <v>550</v>
      </c>
      <c r="E221" s="22">
        <v>43831</v>
      </c>
      <c r="F221" s="21" t="s">
        <v>495</v>
      </c>
      <c r="G221" s="21" t="s">
        <v>527</v>
      </c>
      <c r="H221" s="21" t="s">
        <v>520</v>
      </c>
      <c r="I221" s="5" t="s">
        <v>661</v>
      </c>
      <c r="J221" s="21" t="s">
        <v>532</v>
      </c>
      <c r="K221" s="21" t="s">
        <v>540</v>
      </c>
      <c r="L221" s="23">
        <v>88313</v>
      </c>
      <c r="M221" s="23" t="s">
        <v>673</v>
      </c>
      <c r="N221" s="23">
        <v>58000</v>
      </c>
      <c r="O221" s="23">
        <v>75000</v>
      </c>
      <c r="P221" s="23">
        <v>87000</v>
      </c>
      <c r="Q221" s="24">
        <f>Table13[[#This Row],[Monthly Gross Salary]]/Table13[[#This Row],[Mid]]</f>
        <v>1.1775066666666667</v>
      </c>
      <c r="R221" s="23" t="str">
        <f t="shared" si="6"/>
        <v>High</v>
      </c>
      <c r="S221" s="23">
        <v>2</v>
      </c>
      <c r="T221" s="25">
        <f>INDEX('Merit Matrix'!$B$4:$F$8,
       MATCH($S221,'Merit Matrix'!$A$4:$A$8,0),
       MATCH(TRIM($R221),'Merit Matrix'!$B$3:$F$3,0))</f>
        <v>0</v>
      </c>
      <c r="U221" s="24">
        <f>Table13[[#This Row],[Salary increase %]]*Table13[[#This Row],[Monthly Gross Salary]]</f>
        <v>0</v>
      </c>
      <c r="V221" s="23">
        <f>Table13[[#This Row],[Salary increase Amount]]+Table13[[#This Row],[Monthly Gross Salary]]</f>
        <v>88313</v>
      </c>
      <c r="W221" s="75">
        <v>0.2</v>
      </c>
      <c r="X221" s="6">
        <f>Table13[[#This Row],[New Gross Salary]]*Table13[[#This Row],[STI %]]</f>
        <v>17662.600000000002</v>
      </c>
      <c r="Y221" s="96">
        <v>0.5</v>
      </c>
      <c r="Z221" s="6">
        <f>Table13[[#This Row],[Target STI]]*Table13[[#This Row],[Multiplier]]</f>
        <v>8831.3000000000011</v>
      </c>
      <c r="AA221" s="26">
        <v>0.32</v>
      </c>
      <c r="AB221" s="21" t="s">
        <v>18</v>
      </c>
      <c r="AC221" s="24">
        <f>(Table13[[#This Row],[New Gross Salary]]+Table13[[#This Row],[Final STI]])*Table13[[#This Row],[Tax %]]</f>
        <v>31086.176000000003</v>
      </c>
      <c r="AD221" s="24">
        <f>Table13[[#This Row],[New Gross Salary]]*5%</f>
        <v>4415.6500000000005</v>
      </c>
      <c r="AE221" s="21" cm="1">
        <f t="array" ref="AE221">_xlfn.XLOOKUP(AB221,{"A","B","C"},{500,800,1200})</f>
        <v>500</v>
      </c>
      <c r="AF221" s="24">
        <f t="shared" si="7"/>
        <v>36001.826000000001</v>
      </c>
      <c r="AG221" s="27">
        <f>Table13[[#This Row],[New Gross Salary]]+Table13[[#This Row],[Final STI]]-Table13[[#This Row],[Total Deductions
(Tax+Pension+HP)]]</f>
        <v>61142.474000000002</v>
      </c>
    </row>
    <row r="222" spans="1:33" x14ac:dyDescent="0.2">
      <c r="A222" s="20">
        <v>1221</v>
      </c>
      <c r="B222" s="21" t="s">
        <v>233</v>
      </c>
      <c r="C222" s="21" t="s">
        <v>11</v>
      </c>
      <c r="D222" s="21" t="s">
        <v>534</v>
      </c>
      <c r="E222" s="22">
        <v>45292</v>
      </c>
      <c r="F222" s="21" t="s">
        <v>496</v>
      </c>
      <c r="G222" s="21" t="s">
        <v>527</v>
      </c>
      <c r="H222" s="21" t="s">
        <v>520</v>
      </c>
      <c r="I222" s="5" t="s">
        <v>661</v>
      </c>
      <c r="J222" s="21" t="s">
        <v>535</v>
      </c>
      <c r="K222" s="21" t="s">
        <v>538</v>
      </c>
      <c r="L222" s="23">
        <v>42000</v>
      </c>
      <c r="M222" s="23" t="s">
        <v>673</v>
      </c>
      <c r="N222" s="23">
        <v>38000</v>
      </c>
      <c r="O222" s="23">
        <v>50000</v>
      </c>
      <c r="P222" s="23">
        <v>56000</v>
      </c>
      <c r="Q222" s="24">
        <f>Table13[[#This Row],[Monthly Gross Salary]]/Table13[[#This Row],[Mid]]</f>
        <v>0.84</v>
      </c>
      <c r="R222" s="23" t="str">
        <f t="shared" si="6"/>
        <v>Very Low</v>
      </c>
      <c r="S222" s="23">
        <v>2</v>
      </c>
      <c r="T222" s="25">
        <f>INDEX('Merit Matrix'!$B$4:$F$8,
       MATCH($S222,'Merit Matrix'!$A$4:$A$8,0),
       MATCH(TRIM($R222),'Merit Matrix'!$B$3:$F$3,0))</f>
        <v>0.02</v>
      </c>
      <c r="U222" s="24">
        <f>Table13[[#This Row],[Salary increase %]]*Table13[[#This Row],[Monthly Gross Salary]]</f>
        <v>840</v>
      </c>
      <c r="V222" s="23">
        <f>Table13[[#This Row],[Salary increase Amount]]+Table13[[#This Row],[Monthly Gross Salary]]</f>
        <v>42840</v>
      </c>
      <c r="W222" s="75">
        <v>0.15</v>
      </c>
      <c r="X222" s="6">
        <f>Table13[[#This Row],[New Gross Salary]]*Table13[[#This Row],[STI %]]</f>
        <v>6426</v>
      </c>
      <c r="Y222" s="96">
        <v>0.5</v>
      </c>
      <c r="Z222" s="6">
        <f>Table13[[#This Row],[Target STI]]*Table13[[#This Row],[Multiplier]]</f>
        <v>3213</v>
      </c>
      <c r="AA222" s="26">
        <v>0.28999999999999998</v>
      </c>
      <c r="AB222" s="21" t="s">
        <v>9</v>
      </c>
      <c r="AC222" s="24">
        <f>(Table13[[#This Row],[New Gross Salary]]+Table13[[#This Row],[Final STI]])*Table13[[#This Row],[Tax %]]</f>
        <v>13355.369999999999</v>
      </c>
      <c r="AD222" s="24">
        <f>Table13[[#This Row],[New Gross Salary]]*5%</f>
        <v>2142</v>
      </c>
      <c r="AE222" s="21" cm="1">
        <f t="array" ref="AE222">_xlfn.XLOOKUP(AB222,{"A","B","C"},{500,800,1200})</f>
        <v>800</v>
      </c>
      <c r="AF222" s="24">
        <f t="shared" si="7"/>
        <v>16297.369999999999</v>
      </c>
      <c r="AG222" s="27">
        <f>Table13[[#This Row],[New Gross Salary]]+Table13[[#This Row],[Final STI]]-Table13[[#This Row],[Total Deductions
(Tax+Pension+HP)]]</f>
        <v>29755.63</v>
      </c>
    </row>
    <row r="223" spans="1:33" x14ac:dyDescent="0.2">
      <c r="A223" s="20">
        <v>1222</v>
      </c>
      <c r="B223" s="21" t="s">
        <v>234</v>
      </c>
      <c r="C223" s="21" t="s">
        <v>8</v>
      </c>
      <c r="D223" s="21" t="s">
        <v>544</v>
      </c>
      <c r="E223" s="22">
        <v>44562</v>
      </c>
      <c r="F223" s="21" t="s">
        <v>497</v>
      </c>
      <c r="G223" s="21" t="s">
        <v>527</v>
      </c>
      <c r="H223" s="21" t="s">
        <v>520</v>
      </c>
      <c r="I223" s="5" t="s">
        <v>661</v>
      </c>
      <c r="J223" s="21" t="s">
        <v>535</v>
      </c>
      <c r="K223" s="21" t="s">
        <v>538</v>
      </c>
      <c r="L223" s="23">
        <v>42000</v>
      </c>
      <c r="M223" s="23" t="s">
        <v>673</v>
      </c>
      <c r="N223" s="23">
        <v>38000</v>
      </c>
      <c r="O223" s="23">
        <v>50000</v>
      </c>
      <c r="P223" s="23">
        <v>56000</v>
      </c>
      <c r="Q223" s="24">
        <f>Table13[[#This Row],[Monthly Gross Salary]]/Table13[[#This Row],[Mid]]</f>
        <v>0.84</v>
      </c>
      <c r="R223" s="23" t="str">
        <f t="shared" si="6"/>
        <v>Very Low</v>
      </c>
      <c r="S223" s="23">
        <v>2</v>
      </c>
      <c r="T223" s="25">
        <f>INDEX('Merit Matrix'!$B$4:$F$8,
       MATCH($S223,'Merit Matrix'!$A$4:$A$8,0),
       MATCH(TRIM($R223),'Merit Matrix'!$B$3:$F$3,0))</f>
        <v>0.02</v>
      </c>
      <c r="U223" s="24">
        <f>Table13[[#This Row],[Salary increase %]]*Table13[[#This Row],[Monthly Gross Salary]]</f>
        <v>840</v>
      </c>
      <c r="V223" s="23">
        <f>Table13[[#This Row],[Salary increase Amount]]+Table13[[#This Row],[Monthly Gross Salary]]</f>
        <v>42840</v>
      </c>
      <c r="W223" s="75">
        <v>0.2</v>
      </c>
      <c r="X223" s="6">
        <f>Table13[[#This Row],[New Gross Salary]]*Table13[[#This Row],[STI %]]</f>
        <v>8568</v>
      </c>
      <c r="Y223" s="96">
        <v>0.5</v>
      </c>
      <c r="Z223" s="6">
        <f>Table13[[#This Row],[Target STI]]*Table13[[#This Row],[Multiplier]]</f>
        <v>4284</v>
      </c>
      <c r="AA223" s="26">
        <v>0.32</v>
      </c>
      <c r="AB223" s="21" t="s">
        <v>18</v>
      </c>
      <c r="AC223" s="24">
        <f>(Table13[[#This Row],[New Gross Salary]]+Table13[[#This Row],[Final STI]])*Table13[[#This Row],[Tax %]]</f>
        <v>15079.68</v>
      </c>
      <c r="AD223" s="24">
        <f>Table13[[#This Row],[New Gross Salary]]*5%</f>
        <v>2142</v>
      </c>
      <c r="AE223" s="21" cm="1">
        <f t="array" ref="AE223">_xlfn.XLOOKUP(AB223,{"A","B","C"},{500,800,1200})</f>
        <v>500</v>
      </c>
      <c r="AF223" s="24">
        <f t="shared" si="7"/>
        <v>17721.68</v>
      </c>
      <c r="AG223" s="27">
        <f>Table13[[#This Row],[New Gross Salary]]+Table13[[#This Row],[Final STI]]-Table13[[#This Row],[Total Deductions
(Tax+Pension+HP)]]</f>
        <v>29402.32</v>
      </c>
    </row>
    <row r="224" spans="1:33" x14ac:dyDescent="0.2">
      <c r="A224" s="20">
        <v>1223</v>
      </c>
      <c r="B224" s="21" t="s">
        <v>235</v>
      </c>
      <c r="C224" s="21" t="s">
        <v>17</v>
      </c>
      <c r="D224" s="21" t="s">
        <v>560</v>
      </c>
      <c r="E224" s="22">
        <v>45292</v>
      </c>
      <c r="F224" s="21" t="s">
        <v>498</v>
      </c>
      <c r="G224" s="21" t="s">
        <v>527</v>
      </c>
      <c r="H224" s="21" t="s">
        <v>520</v>
      </c>
      <c r="I224" s="5" t="s">
        <v>661</v>
      </c>
      <c r="J224" s="21" t="s">
        <v>535</v>
      </c>
      <c r="K224" s="21" t="s">
        <v>538</v>
      </c>
      <c r="L224" s="23">
        <v>44000</v>
      </c>
      <c r="M224" s="23" t="s">
        <v>673</v>
      </c>
      <c r="N224" s="23">
        <v>38000</v>
      </c>
      <c r="O224" s="23">
        <v>50000</v>
      </c>
      <c r="P224" s="23">
        <v>56000</v>
      </c>
      <c r="Q224" s="24">
        <f>Table13[[#This Row],[Monthly Gross Salary]]/Table13[[#This Row],[Mid]]</f>
        <v>0.88</v>
      </c>
      <c r="R224" s="23" t="str">
        <f t="shared" si="6"/>
        <v>Below Mid</v>
      </c>
      <c r="S224" s="23">
        <v>2</v>
      </c>
      <c r="T224" s="25">
        <f>INDEX('Merit Matrix'!$B$4:$F$8,
       MATCH($S224,'Merit Matrix'!$A$4:$A$8,0),
       MATCH(TRIM($R224),'Merit Matrix'!$B$3:$F$3,0))</f>
        <v>1.4999999999999999E-2</v>
      </c>
      <c r="U224" s="24">
        <f>Table13[[#This Row],[Salary increase %]]*Table13[[#This Row],[Monthly Gross Salary]]</f>
        <v>660</v>
      </c>
      <c r="V224" s="23">
        <f>Table13[[#This Row],[Salary increase Amount]]+Table13[[#This Row],[Monthly Gross Salary]]</f>
        <v>44660</v>
      </c>
      <c r="W224" s="75">
        <v>0.15</v>
      </c>
      <c r="X224" s="6">
        <f>Table13[[#This Row],[New Gross Salary]]*Table13[[#This Row],[STI %]]</f>
        <v>6699</v>
      </c>
      <c r="Y224" s="96">
        <v>0.5</v>
      </c>
      <c r="Z224" s="6">
        <f>Table13[[#This Row],[Target STI]]*Table13[[#This Row],[Multiplier]]</f>
        <v>3349.5</v>
      </c>
      <c r="AA224" s="26">
        <v>0.32</v>
      </c>
      <c r="AB224" s="21" t="s">
        <v>9</v>
      </c>
      <c r="AC224" s="24">
        <f>(Table13[[#This Row],[New Gross Salary]]+Table13[[#This Row],[Final STI]])*Table13[[#This Row],[Tax %]]</f>
        <v>15363.04</v>
      </c>
      <c r="AD224" s="24">
        <f>Table13[[#This Row],[New Gross Salary]]*5%</f>
        <v>2233</v>
      </c>
      <c r="AE224" s="21" cm="1">
        <f t="array" ref="AE224">_xlfn.XLOOKUP(AB224,{"A","B","C"},{500,800,1200})</f>
        <v>800</v>
      </c>
      <c r="AF224" s="24">
        <f t="shared" si="7"/>
        <v>18396.04</v>
      </c>
      <c r="AG224" s="27">
        <f>Table13[[#This Row],[New Gross Salary]]+Table13[[#This Row],[Final STI]]-Table13[[#This Row],[Total Deductions
(Tax+Pension+HP)]]</f>
        <v>29613.46</v>
      </c>
    </row>
    <row r="225" spans="1:33" x14ac:dyDescent="0.2">
      <c r="A225" s="20">
        <v>1224</v>
      </c>
      <c r="B225" s="21" t="s">
        <v>236</v>
      </c>
      <c r="C225" s="21" t="s">
        <v>11</v>
      </c>
      <c r="D225" s="21" t="s">
        <v>534</v>
      </c>
      <c r="E225" s="22">
        <v>45292</v>
      </c>
      <c r="F225" s="21" t="s">
        <v>499</v>
      </c>
      <c r="G225" s="21" t="s">
        <v>527</v>
      </c>
      <c r="H225" s="21" t="s">
        <v>520</v>
      </c>
      <c r="I225" s="5" t="s">
        <v>661</v>
      </c>
      <c r="J225" s="21" t="s">
        <v>535</v>
      </c>
      <c r="K225" s="21" t="s">
        <v>538</v>
      </c>
      <c r="L225" s="23">
        <v>44000</v>
      </c>
      <c r="M225" s="23" t="s">
        <v>673</v>
      </c>
      <c r="N225" s="23">
        <v>38000</v>
      </c>
      <c r="O225" s="23">
        <v>50000</v>
      </c>
      <c r="P225" s="23">
        <v>56000</v>
      </c>
      <c r="Q225" s="24">
        <f>Table13[[#This Row],[Monthly Gross Salary]]/Table13[[#This Row],[Mid]]</f>
        <v>0.88</v>
      </c>
      <c r="R225" s="23" t="str">
        <f t="shared" si="6"/>
        <v>Below Mid</v>
      </c>
      <c r="S225" s="23">
        <v>2</v>
      </c>
      <c r="T225" s="25">
        <f>INDEX('Merit Matrix'!$B$4:$F$8,
       MATCH($S225,'Merit Matrix'!$A$4:$A$8,0),
       MATCH(TRIM($R225),'Merit Matrix'!$B$3:$F$3,0))</f>
        <v>1.4999999999999999E-2</v>
      </c>
      <c r="U225" s="24">
        <f>Table13[[#This Row],[Salary increase %]]*Table13[[#This Row],[Monthly Gross Salary]]</f>
        <v>660</v>
      </c>
      <c r="V225" s="23">
        <f>Table13[[#This Row],[Salary increase Amount]]+Table13[[#This Row],[Monthly Gross Salary]]</f>
        <v>44660</v>
      </c>
      <c r="W225" s="75">
        <v>0.15</v>
      </c>
      <c r="X225" s="6">
        <f>Table13[[#This Row],[New Gross Salary]]*Table13[[#This Row],[STI %]]</f>
        <v>6699</v>
      </c>
      <c r="Y225" s="96">
        <v>0.5</v>
      </c>
      <c r="Z225" s="6">
        <f>Table13[[#This Row],[Target STI]]*Table13[[#This Row],[Multiplier]]</f>
        <v>3349.5</v>
      </c>
      <c r="AA225" s="26">
        <v>0.32</v>
      </c>
      <c r="AB225" s="21" t="s">
        <v>6</v>
      </c>
      <c r="AC225" s="24">
        <f>(Table13[[#This Row],[New Gross Salary]]+Table13[[#This Row],[Final STI]])*Table13[[#This Row],[Tax %]]</f>
        <v>15363.04</v>
      </c>
      <c r="AD225" s="24">
        <f>Table13[[#This Row],[New Gross Salary]]*5%</f>
        <v>2233</v>
      </c>
      <c r="AE225" s="21" cm="1">
        <f t="array" ref="AE225">_xlfn.XLOOKUP(AB225,{"A","B","C"},{500,800,1200})</f>
        <v>1200</v>
      </c>
      <c r="AF225" s="24">
        <f t="shared" si="7"/>
        <v>18796.04</v>
      </c>
      <c r="AG225" s="27">
        <f>Table13[[#This Row],[New Gross Salary]]+Table13[[#This Row],[Final STI]]-Table13[[#This Row],[Total Deductions
(Tax+Pension+HP)]]</f>
        <v>29213.46</v>
      </c>
    </row>
    <row r="226" spans="1:33" x14ac:dyDescent="0.2">
      <c r="A226" s="20">
        <v>1225</v>
      </c>
      <c r="B226" s="21" t="s">
        <v>237</v>
      </c>
      <c r="C226" s="21" t="s">
        <v>42</v>
      </c>
      <c r="D226" s="21" t="s">
        <v>556</v>
      </c>
      <c r="E226" s="22">
        <v>43831</v>
      </c>
      <c r="F226" s="21" t="s">
        <v>500</v>
      </c>
      <c r="G226" s="21" t="s">
        <v>527</v>
      </c>
      <c r="H226" s="21" t="s">
        <v>520</v>
      </c>
      <c r="I226" s="5" t="s">
        <v>661</v>
      </c>
      <c r="J226" s="21" t="s">
        <v>532</v>
      </c>
      <c r="K226" s="21" t="s">
        <v>539</v>
      </c>
      <c r="L226" s="23">
        <v>73100</v>
      </c>
      <c r="M226" s="23" t="s">
        <v>673</v>
      </c>
      <c r="N226" s="23">
        <v>55000</v>
      </c>
      <c r="O226" s="23">
        <v>75000</v>
      </c>
      <c r="P226" s="23">
        <v>85000</v>
      </c>
      <c r="Q226" s="24">
        <f>Table13[[#This Row],[Monthly Gross Salary]]/Table13[[#This Row],[Mid]]</f>
        <v>0.97466666666666668</v>
      </c>
      <c r="R226" s="23" t="str">
        <f t="shared" si="6"/>
        <v>Around Mid</v>
      </c>
      <c r="S226" s="23">
        <v>2</v>
      </c>
      <c r="T226" s="25">
        <f>INDEX('Merit Matrix'!$B$4:$F$8,
       MATCH($S226,'Merit Matrix'!$A$4:$A$8,0),
       MATCH(TRIM($R226),'Merit Matrix'!$B$3:$F$3,0))</f>
        <v>0.01</v>
      </c>
      <c r="U226" s="24">
        <f>Table13[[#This Row],[Salary increase %]]*Table13[[#This Row],[Monthly Gross Salary]]</f>
        <v>731</v>
      </c>
      <c r="V226" s="23">
        <f>Table13[[#This Row],[Salary increase Amount]]+Table13[[#This Row],[Monthly Gross Salary]]</f>
        <v>73831</v>
      </c>
      <c r="W226" s="75">
        <v>0.2</v>
      </c>
      <c r="X226" s="6">
        <f>Table13[[#This Row],[New Gross Salary]]*Table13[[#This Row],[STI %]]</f>
        <v>14766.2</v>
      </c>
      <c r="Y226" s="96">
        <v>0.5</v>
      </c>
      <c r="Z226" s="6">
        <f>Table13[[#This Row],[Target STI]]*Table13[[#This Row],[Multiplier]]</f>
        <v>7383.1</v>
      </c>
      <c r="AA226" s="26">
        <v>0.31</v>
      </c>
      <c r="AB226" s="21" t="s">
        <v>18</v>
      </c>
      <c r="AC226" s="24">
        <f>(Table13[[#This Row],[New Gross Salary]]+Table13[[#This Row],[Final STI]])*Table13[[#This Row],[Tax %]]</f>
        <v>25176.371000000003</v>
      </c>
      <c r="AD226" s="24">
        <f>Table13[[#This Row],[New Gross Salary]]*5%</f>
        <v>3691.55</v>
      </c>
      <c r="AE226" s="21" cm="1">
        <f t="array" ref="AE226">_xlfn.XLOOKUP(AB226,{"A","B","C"},{500,800,1200})</f>
        <v>500</v>
      </c>
      <c r="AF226" s="24">
        <f t="shared" si="7"/>
        <v>29367.921000000002</v>
      </c>
      <c r="AG226" s="27">
        <f>Table13[[#This Row],[New Gross Salary]]+Table13[[#This Row],[Final STI]]-Table13[[#This Row],[Total Deductions
(Tax+Pension+HP)]]</f>
        <v>51846.179000000004</v>
      </c>
    </row>
    <row r="227" spans="1:33" x14ac:dyDescent="0.2">
      <c r="A227" s="20">
        <v>1226</v>
      </c>
      <c r="B227" s="21" t="s">
        <v>238</v>
      </c>
      <c r="C227" s="21" t="s">
        <v>42</v>
      </c>
      <c r="D227" s="21" t="s">
        <v>556</v>
      </c>
      <c r="E227" s="22">
        <v>43831</v>
      </c>
      <c r="F227" s="21" t="s">
        <v>501</v>
      </c>
      <c r="G227" s="21" t="s">
        <v>527</v>
      </c>
      <c r="H227" s="21" t="s">
        <v>520</v>
      </c>
      <c r="I227" s="5" t="s">
        <v>661</v>
      </c>
      <c r="J227" s="21" t="s">
        <v>532</v>
      </c>
      <c r="K227" s="21" t="s">
        <v>539</v>
      </c>
      <c r="L227" s="23">
        <v>73100</v>
      </c>
      <c r="M227" s="23" t="s">
        <v>673</v>
      </c>
      <c r="N227" s="23">
        <v>55000</v>
      </c>
      <c r="O227" s="23">
        <v>75000</v>
      </c>
      <c r="P227" s="23">
        <v>85000</v>
      </c>
      <c r="Q227" s="24">
        <f>Table13[[#This Row],[Monthly Gross Salary]]/Table13[[#This Row],[Mid]]</f>
        <v>0.97466666666666668</v>
      </c>
      <c r="R227" s="23" t="str">
        <f t="shared" si="6"/>
        <v>Around Mid</v>
      </c>
      <c r="S227" s="23">
        <v>2</v>
      </c>
      <c r="T227" s="25">
        <f>INDEX('Merit Matrix'!$B$4:$F$8,
       MATCH($S227,'Merit Matrix'!$A$4:$A$8,0),
       MATCH(TRIM($R227),'Merit Matrix'!$B$3:$F$3,0))</f>
        <v>0.01</v>
      </c>
      <c r="U227" s="24">
        <f>Table13[[#This Row],[Salary increase %]]*Table13[[#This Row],[Monthly Gross Salary]]</f>
        <v>731</v>
      </c>
      <c r="V227" s="23">
        <f>Table13[[#This Row],[Salary increase Amount]]+Table13[[#This Row],[Monthly Gross Salary]]</f>
        <v>73831</v>
      </c>
      <c r="W227" s="75">
        <v>0.2</v>
      </c>
      <c r="X227" s="6">
        <f>Table13[[#This Row],[New Gross Salary]]*Table13[[#This Row],[STI %]]</f>
        <v>14766.2</v>
      </c>
      <c r="Y227" s="96">
        <v>0.5</v>
      </c>
      <c r="Z227" s="6">
        <f>Table13[[#This Row],[Target STI]]*Table13[[#This Row],[Multiplier]]</f>
        <v>7383.1</v>
      </c>
      <c r="AA227" s="26">
        <v>0.32</v>
      </c>
      <c r="AB227" s="21" t="s">
        <v>18</v>
      </c>
      <c r="AC227" s="24">
        <f>(Table13[[#This Row],[New Gross Salary]]+Table13[[#This Row],[Final STI]])*Table13[[#This Row],[Tax %]]</f>
        <v>25988.512000000002</v>
      </c>
      <c r="AD227" s="24">
        <f>Table13[[#This Row],[New Gross Salary]]*5%</f>
        <v>3691.55</v>
      </c>
      <c r="AE227" s="21" cm="1">
        <f t="array" ref="AE227">_xlfn.XLOOKUP(AB227,{"A","B","C"},{500,800,1200})</f>
        <v>500</v>
      </c>
      <c r="AF227" s="24">
        <f t="shared" si="7"/>
        <v>30180.062000000002</v>
      </c>
      <c r="AG227" s="27">
        <f>Table13[[#This Row],[New Gross Salary]]+Table13[[#This Row],[Final STI]]-Table13[[#This Row],[Total Deductions
(Tax+Pension+HP)]]</f>
        <v>51034.038</v>
      </c>
    </row>
    <row r="228" spans="1:33" x14ac:dyDescent="0.2">
      <c r="A228" s="20">
        <v>1227</v>
      </c>
      <c r="B228" s="21" t="s">
        <v>239</v>
      </c>
      <c r="C228" s="21" t="s">
        <v>42</v>
      </c>
      <c r="D228" s="21" t="s">
        <v>556</v>
      </c>
      <c r="E228" s="22">
        <v>43831</v>
      </c>
      <c r="F228" s="21" t="s">
        <v>502</v>
      </c>
      <c r="G228" s="21" t="s">
        <v>527</v>
      </c>
      <c r="H228" s="21" t="s">
        <v>520</v>
      </c>
      <c r="I228" s="5" t="s">
        <v>661</v>
      </c>
      <c r="J228" s="21" t="s">
        <v>532</v>
      </c>
      <c r="K228" s="21" t="s">
        <v>539</v>
      </c>
      <c r="L228" s="23">
        <v>73759</v>
      </c>
      <c r="M228" s="23" t="s">
        <v>673</v>
      </c>
      <c r="N228" s="23">
        <v>55000</v>
      </c>
      <c r="O228" s="23">
        <v>75000</v>
      </c>
      <c r="P228" s="23">
        <v>85000</v>
      </c>
      <c r="Q228" s="24">
        <f>Table13[[#This Row],[Monthly Gross Salary]]/Table13[[#This Row],[Mid]]</f>
        <v>0.98345333333333329</v>
      </c>
      <c r="R228" s="23" t="str">
        <f t="shared" si="6"/>
        <v>Around Mid</v>
      </c>
      <c r="S228" s="23">
        <v>2</v>
      </c>
      <c r="T228" s="25">
        <f>INDEX('Merit Matrix'!$B$4:$F$8,
       MATCH($S228,'Merit Matrix'!$A$4:$A$8,0),
       MATCH(TRIM($R228),'Merit Matrix'!$B$3:$F$3,0))</f>
        <v>0.01</v>
      </c>
      <c r="U228" s="24">
        <f>Table13[[#This Row],[Salary increase %]]*Table13[[#This Row],[Monthly Gross Salary]]</f>
        <v>737.59</v>
      </c>
      <c r="V228" s="23">
        <f>Table13[[#This Row],[Salary increase Amount]]+Table13[[#This Row],[Monthly Gross Salary]]</f>
        <v>74496.59</v>
      </c>
      <c r="W228" s="75">
        <v>0.2</v>
      </c>
      <c r="X228" s="6">
        <f>Table13[[#This Row],[New Gross Salary]]*Table13[[#This Row],[STI %]]</f>
        <v>14899.317999999999</v>
      </c>
      <c r="Y228" s="96">
        <v>0.5</v>
      </c>
      <c r="Z228" s="6">
        <f>Table13[[#This Row],[Target STI]]*Table13[[#This Row],[Multiplier]]</f>
        <v>7449.6589999999997</v>
      </c>
      <c r="AA228" s="26">
        <v>0.32</v>
      </c>
      <c r="AB228" s="21" t="s">
        <v>6</v>
      </c>
      <c r="AC228" s="24">
        <f>(Table13[[#This Row],[New Gross Salary]]+Table13[[#This Row],[Final STI]])*Table13[[#This Row],[Tax %]]</f>
        <v>26222.79968</v>
      </c>
      <c r="AD228" s="24">
        <f>Table13[[#This Row],[New Gross Salary]]*5%</f>
        <v>3724.8294999999998</v>
      </c>
      <c r="AE228" s="21" cm="1">
        <f t="array" ref="AE228">_xlfn.XLOOKUP(AB228,{"A","B","C"},{500,800,1200})</f>
        <v>1200</v>
      </c>
      <c r="AF228" s="24">
        <f t="shared" si="7"/>
        <v>31147.62918</v>
      </c>
      <c r="AG228" s="27">
        <f>Table13[[#This Row],[New Gross Salary]]+Table13[[#This Row],[Final STI]]-Table13[[#This Row],[Total Deductions
(Tax+Pension+HP)]]</f>
        <v>50798.619819999993</v>
      </c>
    </row>
    <row r="229" spans="1:33" x14ac:dyDescent="0.2">
      <c r="A229" s="20">
        <v>1228</v>
      </c>
      <c r="B229" s="21" t="s">
        <v>240</v>
      </c>
      <c r="C229" s="21" t="s">
        <v>11</v>
      </c>
      <c r="D229" s="21" t="s">
        <v>534</v>
      </c>
      <c r="E229" s="22">
        <v>45292</v>
      </c>
      <c r="F229" s="21" t="s">
        <v>503</v>
      </c>
      <c r="G229" s="21" t="s">
        <v>527</v>
      </c>
      <c r="H229" s="21" t="s">
        <v>520</v>
      </c>
      <c r="I229" s="5" t="s">
        <v>661</v>
      </c>
      <c r="J229" s="21" t="s">
        <v>535</v>
      </c>
      <c r="K229" s="21" t="s">
        <v>538</v>
      </c>
      <c r="L229" s="23">
        <v>44000</v>
      </c>
      <c r="M229" s="23" t="s">
        <v>673</v>
      </c>
      <c r="N229" s="23">
        <v>38000</v>
      </c>
      <c r="O229" s="23">
        <v>50000</v>
      </c>
      <c r="P229" s="23">
        <v>56000</v>
      </c>
      <c r="Q229" s="24">
        <f>Table13[[#This Row],[Monthly Gross Salary]]/Table13[[#This Row],[Mid]]</f>
        <v>0.88</v>
      </c>
      <c r="R229" s="23" t="str">
        <f t="shared" si="6"/>
        <v>Below Mid</v>
      </c>
      <c r="S229" s="23">
        <v>2</v>
      </c>
      <c r="T229" s="25">
        <f>INDEX('Merit Matrix'!$B$4:$F$8,
       MATCH($S229,'Merit Matrix'!$A$4:$A$8,0),
       MATCH(TRIM($R229),'Merit Matrix'!$B$3:$F$3,0))</f>
        <v>1.4999999999999999E-2</v>
      </c>
      <c r="U229" s="24">
        <f>Table13[[#This Row],[Salary increase %]]*Table13[[#This Row],[Monthly Gross Salary]]</f>
        <v>660</v>
      </c>
      <c r="V229" s="23">
        <f>Table13[[#This Row],[Salary increase Amount]]+Table13[[#This Row],[Monthly Gross Salary]]</f>
        <v>44660</v>
      </c>
      <c r="W229" s="75">
        <v>0.15</v>
      </c>
      <c r="X229" s="6">
        <f>Table13[[#This Row],[New Gross Salary]]*Table13[[#This Row],[STI %]]</f>
        <v>6699</v>
      </c>
      <c r="Y229" s="96">
        <v>0.5</v>
      </c>
      <c r="Z229" s="6">
        <f>Table13[[#This Row],[Target STI]]*Table13[[#This Row],[Multiplier]]</f>
        <v>3349.5</v>
      </c>
      <c r="AA229" s="26">
        <v>0.3</v>
      </c>
      <c r="AB229" s="21" t="s">
        <v>9</v>
      </c>
      <c r="AC229" s="24">
        <f>(Table13[[#This Row],[New Gross Salary]]+Table13[[#This Row],[Final STI]])*Table13[[#This Row],[Tax %]]</f>
        <v>14402.85</v>
      </c>
      <c r="AD229" s="24">
        <f>Table13[[#This Row],[New Gross Salary]]*5%</f>
        <v>2233</v>
      </c>
      <c r="AE229" s="21" cm="1">
        <f t="array" ref="AE229">_xlfn.XLOOKUP(AB229,{"A","B","C"},{500,800,1200})</f>
        <v>800</v>
      </c>
      <c r="AF229" s="24">
        <f t="shared" si="7"/>
        <v>17435.849999999999</v>
      </c>
      <c r="AG229" s="27">
        <f>Table13[[#This Row],[New Gross Salary]]+Table13[[#This Row],[Final STI]]-Table13[[#This Row],[Total Deductions
(Tax+Pension+HP)]]</f>
        <v>30573.65</v>
      </c>
    </row>
    <row r="230" spans="1:33" x14ac:dyDescent="0.2">
      <c r="A230" s="20">
        <v>1229</v>
      </c>
      <c r="B230" s="21" t="s">
        <v>241</v>
      </c>
      <c r="C230" s="21" t="s">
        <v>11</v>
      </c>
      <c r="D230" s="21" t="s">
        <v>534</v>
      </c>
      <c r="E230" s="22">
        <v>45292</v>
      </c>
      <c r="F230" s="21" t="s">
        <v>504</v>
      </c>
      <c r="G230" s="21" t="s">
        <v>527</v>
      </c>
      <c r="H230" s="21" t="s">
        <v>520</v>
      </c>
      <c r="I230" s="5" t="s">
        <v>661</v>
      </c>
      <c r="J230" s="21" t="s">
        <v>535</v>
      </c>
      <c r="K230" s="21" t="s">
        <v>538</v>
      </c>
      <c r="L230" s="23">
        <v>44000</v>
      </c>
      <c r="M230" s="23" t="s">
        <v>673</v>
      </c>
      <c r="N230" s="23">
        <v>38000</v>
      </c>
      <c r="O230" s="23">
        <v>50000</v>
      </c>
      <c r="P230" s="23">
        <v>56000</v>
      </c>
      <c r="Q230" s="24">
        <f>Table13[[#This Row],[Monthly Gross Salary]]/Table13[[#This Row],[Mid]]</f>
        <v>0.88</v>
      </c>
      <c r="R230" s="23" t="str">
        <f t="shared" si="6"/>
        <v>Below Mid</v>
      </c>
      <c r="S230" s="23">
        <v>2</v>
      </c>
      <c r="T230" s="25">
        <f>INDEX('Merit Matrix'!$B$4:$F$8,
       MATCH($S230,'Merit Matrix'!$A$4:$A$8,0),
       MATCH(TRIM($R230),'Merit Matrix'!$B$3:$F$3,0))</f>
        <v>1.4999999999999999E-2</v>
      </c>
      <c r="U230" s="24">
        <f>Table13[[#This Row],[Salary increase %]]*Table13[[#This Row],[Monthly Gross Salary]]</f>
        <v>660</v>
      </c>
      <c r="V230" s="23">
        <f>Table13[[#This Row],[Salary increase Amount]]+Table13[[#This Row],[Monthly Gross Salary]]</f>
        <v>44660</v>
      </c>
      <c r="W230" s="75">
        <v>0.15</v>
      </c>
      <c r="X230" s="6">
        <f>Table13[[#This Row],[New Gross Salary]]*Table13[[#This Row],[STI %]]</f>
        <v>6699</v>
      </c>
      <c r="Y230" s="96">
        <v>0.5</v>
      </c>
      <c r="Z230" s="6">
        <f>Table13[[#This Row],[Target STI]]*Table13[[#This Row],[Multiplier]]</f>
        <v>3349.5</v>
      </c>
      <c r="AA230" s="26">
        <v>0.27</v>
      </c>
      <c r="AB230" s="21" t="s">
        <v>18</v>
      </c>
      <c r="AC230" s="24">
        <f>(Table13[[#This Row],[New Gross Salary]]+Table13[[#This Row],[Final STI]])*Table13[[#This Row],[Tax %]]</f>
        <v>12962.565000000001</v>
      </c>
      <c r="AD230" s="24">
        <f>Table13[[#This Row],[New Gross Salary]]*5%</f>
        <v>2233</v>
      </c>
      <c r="AE230" s="21" cm="1">
        <f t="array" ref="AE230">_xlfn.XLOOKUP(AB230,{"A","B","C"},{500,800,1200})</f>
        <v>500</v>
      </c>
      <c r="AF230" s="24">
        <f t="shared" si="7"/>
        <v>15695.565000000001</v>
      </c>
      <c r="AG230" s="27">
        <f>Table13[[#This Row],[New Gross Salary]]+Table13[[#This Row],[Final STI]]-Table13[[#This Row],[Total Deductions
(Tax+Pension+HP)]]</f>
        <v>32313.934999999998</v>
      </c>
    </row>
    <row r="231" spans="1:33" x14ac:dyDescent="0.2">
      <c r="A231" s="20">
        <v>1230</v>
      </c>
      <c r="B231" s="21" t="s">
        <v>242</v>
      </c>
      <c r="C231" s="21" t="s">
        <v>8</v>
      </c>
      <c r="D231" s="21" t="s">
        <v>545</v>
      </c>
      <c r="E231" s="22">
        <v>45292</v>
      </c>
      <c r="F231" s="21" t="s">
        <v>505</v>
      </c>
      <c r="G231" s="21" t="s">
        <v>527</v>
      </c>
      <c r="H231" s="21" t="s">
        <v>520</v>
      </c>
      <c r="I231" s="5" t="s">
        <v>661</v>
      </c>
      <c r="J231" s="21" t="s">
        <v>535</v>
      </c>
      <c r="K231" s="21" t="s">
        <v>538</v>
      </c>
      <c r="L231" s="23">
        <v>44000</v>
      </c>
      <c r="M231" s="23" t="s">
        <v>673</v>
      </c>
      <c r="N231" s="23">
        <v>38000</v>
      </c>
      <c r="O231" s="23">
        <v>50000</v>
      </c>
      <c r="P231" s="23">
        <v>56000</v>
      </c>
      <c r="Q231" s="24">
        <f>Table13[[#This Row],[Monthly Gross Salary]]/Table13[[#This Row],[Mid]]</f>
        <v>0.88</v>
      </c>
      <c r="R231" s="23" t="str">
        <f t="shared" si="6"/>
        <v>Below Mid</v>
      </c>
      <c r="S231" s="23">
        <v>2</v>
      </c>
      <c r="T231" s="25">
        <f>INDEX('Merit Matrix'!$B$4:$F$8,
       MATCH($S231,'Merit Matrix'!$A$4:$A$8,0),
       MATCH(TRIM($R231),'Merit Matrix'!$B$3:$F$3,0))</f>
        <v>1.4999999999999999E-2</v>
      </c>
      <c r="U231" s="24">
        <f>Table13[[#This Row],[Salary increase %]]*Table13[[#This Row],[Monthly Gross Salary]]</f>
        <v>660</v>
      </c>
      <c r="V231" s="23">
        <f>Table13[[#This Row],[Salary increase Amount]]+Table13[[#This Row],[Monthly Gross Salary]]</f>
        <v>44660</v>
      </c>
      <c r="W231" s="75">
        <v>0.15</v>
      </c>
      <c r="X231" s="6">
        <f>Table13[[#This Row],[New Gross Salary]]*Table13[[#This Row],[STI %]]</f>
        <v>6699</v>
      </c>
      <c r="Y231" s="96">
        <v>0.5</v>
      </c>
      <c r="Z231" s="6">
        <f>Table13[[#This Row],[Target STI]]*Table13[[#This Row],[Multiplier]]</f>
        <v>3349.5</v>
      </c>
      <c r="AA231" s="26">
        <v>0.32</v>
      </c>
      <c r="AB231" s="21" t="s">
        <v>9</v>
      </c>
      <c r="AC231" s="24">
        <f>(Table13[[#This Row],[New Gross Salary]]+Table13[[#This Row],[Final STI]])*Table13[[#This Row],[Tax %]]</f>
        <v>15363.04</v>
      </c>
      <c r="AD231" s="24">
        <f>Table13[[#This Row],[New Gross Salary]]*5%</f>
        <v>2233</v>
      </c>
      <c r="AE231" s="21" cm="1">
        <f t="array" ref="AE231">_xlfn.XLOOKUP(AB231,{"A","B","C"},{500,800,1200})</f>
        <v>800</v>
      </c>
      <c r="AF231" s="24">
        <f t="shared" si="7"/>
        <v>18396.04</v>
      </c>
      <c r="AG231" s="27">
        <f>Table13[[#This Row],[New Gross Salary]]+Table13[[#This Row],[Final STI]]-Table13[[#This Row],[Total Deductions
(Tax+Pension+HP)]]</f>
        <v>29613.46</v>
      </c>
    </row>
    <row r="232" spans="1:33" x14ac:dyDescent="0.2">
      <c r="A232" s="20">
        <v>1231</v>
      </c>
      <c r="B232" s="21" t="s">
        <v>243</v>
      </c>
      <c r="C232" s="21" t="s">
        <v>8</v>
      </c>
      <c r="D232" s="21" t="s">
        <v>545</v>
      </c>
      <c r="E232" s="22">
        <v>45292</v>
      </c>
      <c r="F232" s="21" t="s">
        <v>506</v>
      </c>
      <c r="G232" s="21" t="s">
        <v>527</v>
      </c>
      <c r="H232" s="21" t="s">
        <v>520</v>
      </c>
      <c r="I232" s="5" t="s">
        <v>661</v>
      </c>
      <c r="J232" s="21" t="s">
        <v>535</v>
      </c>
      <c r="K232" s="21" t="s">
        <v>538</v>
      </c>
      <c r="L232" s="23">
        <v>44000</v>
      </c>
      <c r="M232" s="23" t="s">
        <v>673</v>
      </c>
      <c r="N232" s="23">
        <v>38000</v>
      </c>
      <c r="O232" s="23">
        <v>50000</v>
      </c>
      <c r="P232" s="23">
        <v>56000</v>
      </c>
      <c r="Q232" s="24">
        <f>Table13[[#This Row],[Monthly Gross Salary]]/Table13[[#This Row],[Mid]]</f>
        <v>0.88</v>
      </c>
      <c r="R232" s="23" t="str">
        <f t="shared" si="6"/>
        <v>Below Mid</v>
      </c>
      <c r="S232" s="23">
        <v>2</v>
      </c>
      <c r="T232" s="25">
        <f>INDEX('Merit Matrix'!$B$4:$F$8,
       MATCH($S232,'Merit Matrix'!$A$4:$A$8,0),
       MATCH(TRIM($R232),'Merit Matrix'!$B$3:$F$3,0))</f>
        <v>1.4999999999999999E-2</v>
      </c>
      <c r="U232" s="24">
        <f>Table13[[#This Row],[Salary increase %]]*Table13[[#This Row],[Monthly Gross Salary]]</f>
        <v>660</v>
      </c>
      <c r="V232" s="23">
        <f>Table13[[#This Row],[Salary increase Amount]]+Table13[[#This Row],[Monthly Gross Salary]]</f>
        <v>44660</v>
      </c>
      <c r="W232" s="75">
        <v>0.15</v>
      </c>
      <c r="X232" s="6">
        <f>Table13[[#This Row],[New Gross Salary]]*Table13[[#This Row],[STI %]]</f>
        <v>6699</v>
      </c>
      <c r="Y232" s="96">
        <v>0.5</v>
      </c>
      <c r="Z232" s="6">
        <f>Table13[[#This Row],[Target STI]]*Table13[[#This Row],[Multiplier]]</f>
        <v>3349.5</v>
      </c>
      <c r="AA232" s="26">
        <v>0.3</v>
      </c>
      <c r="AB232" s="21" t="s">
        <v>9</v>
      </c>
      <c r="AC232" s="24">
        <f>(Table13[[#This Row],[New Gross Salary]]+Table13[[#This Row],[Final STI]])*Table13[[#This Row],[Tax %]]</f>
        <v>14402.85</v>
      </c>
      <c r="AD232" s="24">
        <f>Table13[[#This Row],[New Gross Salary]]*5%</f>
        <v>2233</v>
      </c>
      <c r="AE232" s="21" cm="1">
        <f t="array" ref="AE232">_xlfn.XLOOKUP(AB232,{"A","B","C"},{500,800,1200})</f>
        <v>800</v>
      </c>
      <c r="AF232" s="24">
        <f t="shared" si="7"/>
        <v>17435.849999999999</v>
      </c>
      <c r="AG232" s="27">
        <f>Table13[[#This Row],[New Gross Salary]]+Table13[[#This Row],[Final STI]]-Table13[[#This Row],[Total Deductions
(Tax+Pension+HP)]]</f>
        <v>30573.65</v>
      </c>
    </row>
    <row r="233" spans="1:33" x14ac:dyDescent="0.2">
      <c r="A233" s="20">
        <v>1232</v>
      </c>
      <c r="B233" s="21" t="s">
        <v>244</v>
      </c>
      <c r="C233" s="21" t="s">
        <v>14</v>
      </c>
      <c r="D233" s="21" t="s">
        <v>553</v>
      </c>
      <c r="E233" s="22">
        <v>43831</v>
      </c>
      <c r="F233" s="21" t="s">
        <v>507</v>
      </c>
      <c r="G233" s="21" t="s">
        <v>527</v>
      </c>
      <c r="H233" s="21" t="s">
        <v>520</v>
      </c>
      <c r="I233" s="5" t="s">
        <v>661</v>
      </c>
      <c r="J233" s="21" t="s">
        <v>532</v>
      </c>
      <c r="K233" s="21" t="s">
        <v>540</v>
      </c>
      <c r="L233" s="23">
        <v>88313</v>
      </c>
      <c r="M233" s="23" t="s">
        <v>673</v>
      </c>
      <c r="N233" s="23">
        <v>58000</v>
      </c>
      <c r="O233" s="23">
        <v>75000</v>
      </c>
      <c r="P233" s="23">
        <v>87000</v>
      </c>
      <c r="Q233" s="24">
        <f>Table13[[#This Row],[Monthly Gross Salary]]/Table13[[#This Row],[Mid]]</f>
        <v>1.1775066666666667</v>
      </c>
      <c r="R233" s="23" t="str">
        <f t="shared" si="6"/>
        <v>High</v>
      </c>
      <c r="S233" s="23">
        <v>2</v>
      </c>
      <c r="T233" s="25">
        <f>INDEX('Merit Matrix'!$B$4:$F$8,
       MATCH($S233,'Merit Matrix'!$A$4:$A$8,0),
       MATCH(TRIM($R233),'Merit Matrix'!$B$3:$F$3,0))</f>
        <v>0</v>
      </c>
      <c r="U233" s="24">
        <f>Table13[[#This Row],[Salary increase %]]*Table13[[#This Row],[Monthly Gross Salary]]</f>
        <v>0</v>
      </c>
      <c r="V233" s="23">
        <f>Table13[[#This Row],[Salary increase Amount]]+Table13[[#This Row],[Monthly Gross Salary]]</f>
        <v>88313</v>
      </c>
      <c r="W233" s="75">
        <v>0.2</v>
      </c>
      <c r="X233" s="6">
        <f>Table13[[#This Row],[New Gross Salary]]*Table13[[#This Row],[STI %]]</f>
        <v>17662.600000000002</v>
      </c>
      <c r="Y233" s="96">
        <v>0.5</v>
      </c>
      <c r="Z233" s="6">
        <f>Table13[[#This Row],[Target STI]]*Table13[[#This Row],[Multiplier]]</f>
        <v>8831.3000000000011</v>
      </c>
      <c r="AA233" s="26">
        <v>0.32</v>
      </c>
      <c r="AB233" s="21" t="s">
        <v>18</v>
      </c>
      <c r="AC233" s="24">
        <f>(Table13[[#This Row],[New Gross Salary]]+Table13[[#This Row],[Final STI]])*Table13[[#This Row],[Tax %]]</f>
        <v>31086.176000000003</v>
      </c>
      <c r="AD233" s="24">
        <f>Table13[[#This Row],[New Gross Salary]]*5%</f>
        <v>4415.6500000000005</v>
      </c>
      <c r="AE233" s="21" cm="1">
        <f t="array" ref="AE233">_xlfn.XLOOKUP(AB233,{"A","B","C"},{500,800,1200})</f>
        <v>500</v>
      </c>
      <c r="AF233" s="24">
        <f t="shared" si="7"/>
        <v>36001.826000000001</v>
      </c>
      <c r="AG233" s="27">
        <f>Table13[[#This Row],[New Gross Salary]]+Table13[[#This Row],[Final STI]]-Table13[[#This Row],[Total Deductions
(Tax+Pension+HP)]]</f>
        <v>61142.474000000002</v>
      </c>
    </row>
    <row r="234" spans="1:33" x14ac:dyDescent="0.2">
      <c r="A234" s="20">
        <v>1233</v>
      </c>
      <c r="B234" s="21" t="s">
        <v>245</v>
      </c>
      <c r="C234" s="21" t="s">
        <v>5</v>
      </c>
      <c r="D234" s="21" t="s">
        <v>550</v>
      </c>
      <c r="E234" s="22">
        <v>43831</v>
      </c>
      <c r="F234" s="21" t="s">
        <v>508</v>
      </c>
      <c r="G234" s="21" t="s">
        <v>527</v>
      </c>
      <c r="H234" s="21" t="s">
        <v>520</v>
      </c>
      <c r="I234" s="5" t="s">
        <v>661</v>
      </c>
      <c r="J234" s="21" t="s">
        <v>532</v>
      </c>
      <c r="K234" s="21" t="s">
        <v>540</v>
      </c>
      <c r="L234" s="23">
        <v>88313</v>
      </c>
      <c r="M234" s="23" t="s">
        <v>673</v>
      </c>
      <c r="N234" s="23">
        <v>58000</v>
      </c>
      <c r="O234" s="23">
        <v>75000</v>
      </c>
      <c r="P234" s="23">
        <v>87000</v>
      </c>
      <c r="Q234" s="24">
        <f>Table13[[#This Row],[Monthly Gross Salary]]/Table13[[#This Row],[Mid]]</f>
        <v>1.1775066666666667</v>
      </c>
      <c r="R234" s="23" t="str">
        <f t="shared" si="6"/>
        <v>High</v>
      </c>
      <c r="S234" s="23">
        <v>2</v>
      </c>
      <c r="T234" s="25">
        <f>INDEX('Merit Matrix'!$B$4:$F$8,
       MATCH($S234,'Merit Matrix'!$A$4:$A$8,0),
       MATCH(TRIM($R234),'Merit Matrix'!$B$3:$F$3,0))</f>
        <v>0</v>
      </c>
      <c r="U234" s="24">
        <f>Table13[[#This Row],[Salary increase %]]*Table13[[#This Row],[Monthly Gross Salary]]</f>
        <v>0</v>
      </c>
      <c r="V234" s="23">
        <f>Table13[[#This Row],[Salary increase Amount]]+Table13[[#This Row],[Monthly Gross Salary]]</f>
        <v>88313</v>
      </c>
      <c r="W234" s="75">
        <v>0.2</v>
      </c>
      <c r="X234" s="6">
        <f>Table13[[#This Row],[New Gross Salary]]*Table13[[#This Row],[STI %]]</f>
        <v>17662.600000000002</v>
      </c>
      <c r="Y234" s="96">
        <v>0.5</v>
      </c>
      <c r="Z234" s="6">
        <f>Table13[[#This Row],[Target STI]]*Table13[[#This Row],[Multiplier]]</f>
        <v>8831.3000000000011</v>
      </c>
      <c r="AA234" s="26">
        <v>0.32</v>
      </c>
      <c r="AB234" s="21" t="s">
        <v>6</v>
      </c>
      <c r="AC234" s="24">
        <f>(Table13[[#This Row],[New Gross Salary]]+Table13[[#This Row],[Final STI]])*Table13[[#This Row],[Tax %]]</f>
        <v>31086.176000000003</v>
      </c>
      <c r="AD234" s="24">
        <f>Table13[[#This Row],[New Gross Salary]]*5%</f>
        <v>4415.6500000000005</v>
      </c>
      <c r="AE234" s="21" cm="1">
        <f t="array" ref="AE234">_xlfn.XLOOKUP(AB234,{"A","B","C"},{500,800,1200})</f>
        <v>1200</v>
      </c>
      <c r="AF234" s="24">
        <f t="shared" si="7"/>
        <v>36701.826000000001</v>
      </c>
      <c r="AG234" s="27">
        <f>Table13[[#This Row],[New Gross Salary]]+Table13[[#This Row],[Final STI]]-Table13[[#This Row],[Total Deductions
(Tax+Pension+HP)]]</f>
        <v>60442.474000000002</v>
      </c>
    </row>
    <row r="235" spans="1:33" x14ac:dyDescent="0.2">
      <c r="A235" s="20">
        <v>1234</v>
      </c>
      <c r="B235" s="21" t="s">
        <v>246</v>
      </c>
      <c r="C235" s="21" t="s">
        <v>17</v>
      </c>
      <c r="D235" s="21" t="s">
        <v>561</v>
      </c>
      <c r="E235" s="22">
        <v>43101</v>
      </c>
      <c r="F235" s="21" t="s">
        <v>566</v>
      </c>
      <c r="G235" s="21" t="s">
        <v>527</v>
      </c>
      <c r="H235" s="21" t="s">
        <v>520</v>
      </c>
      <c r="I235" s="5" t="s">
        <v>661</v>
      </c>
      <c r="J235" s="21" t="s">
        <v>547</v>
      </c>
      <c r="K235" s="21" t="s">
        <v>541</v>
      </c>
      <c r="L235" s="23">
        <v>95656</v>
      </c>
      <c r="M235" s="23" t="s">
        <v>673</v>
      </c>
      <c r="N235" s="23">
        <v>66959</v>
      </c>
      <c r="O235" s="23">
        <v>95656</v>
      </c>
      <c r="P235" s="23">
        <v>124353</v>
      </c>
      <c r="Q235" s="24">
        <f>Table13[[#This Row],[Monthly Gross Salary]]/Table13[[#This Row],[Mid]]</f>
        <v>1</v>
      </c>
      <c r="R235" s="23" t="str">
        <f t="shared" si="6"/>
        <v>Around Mid</v>
      </c>
      <c r="S235" s="23">
        <v>5</v>
      </c>
      <c r="T235" s="25">
        <f>INDEX('Merit Matrix'!$B$4:$F$8,
       MATCH($S235,'Merit Matrix'!$A$4:$A$8,0),
       MATCH(TRIM($R235),'Merit Matrix'!$B$3:$F$3,0))</f>
        <v>0.06</v>
      </c>
      <c r="U235" s="24">
        <f>Table13[[#This Row],[Salary increase %]]*Table13[[#This Row],[Monthly Gross Salary]]</f>
        <v>5739.36</v>
      </c>
      <c r="V235" s="23">
        <f>Table13[[#This Row],[Salary increase Amount]]+Table13[[#This Row],[Monthly Gross Salary]]</f>
        <v>101395.36</v>
      </c>
      <c r="W235" s="75">
        <v>0.25</v>
      </c>
      <c r="X235" s="6">
        <f>Table13[[#This Row],[New Gross Salary]]*Table13[[#This Row],[STI %]]</f>
        <v>25348.84</v>
      </c>
      <c r="Y235" s="96">
        <v>1.5</v>
      </c>
      <c r="Z235" s="6">
        <f>Table13[[#This Row],[Target STI]]*Table13[[#This Row],[Multiplier]]</f>
        <v>38023.26</v>
      </c>
      <c r="AA235" s="26">
        <v>0.3</v>
      </c>
      <c r="AB235" s="21" t="s">
        <v>18</v>
      </c>
      <c r="AC235" s="24">
        <f>(Table13[[#This Row],[New Gross Salary]]+Table13[[#This Row],[Final STI]])*Table13[[#This Row],[Tax %]]</f>
        <v>41825.585999999996</v>
      </c>
      <c r="AD235" s="24">
        <f>Table13[[#This Row],[New Gross Salary]]*5%</f>
        <v>5069.768</v>
      </c>
      <c r="AE235" s="21" cm="1">
        <f t="array" ref="AE235">_xlfn.XLOOKUP(AB235,{"A","B","C"},{500,800,1200})</f>
        <v>500</v>
      </c>
      <c r="AF235" s="24">
        <f t="shared" si="7"/>
        <v>47395.353999999992</v>
      </c>
      <c r="AG235" s="27">
        <f>Table13[[#This Row],[New Gross Salary]]+Table13[[#This Row],[Final STI]]-Table13[[#This Row],[Total Deductions
(Tax+Pension+HP)]]</f>
        <v>92023.266000000003</v>
      </c>
    </row>
    <row r="236" spans="1:33" x14ac:dyDescent="0.2">
      <c r="A236" s="20">
        <v>1235</v>
      </c>
      <c r="B236" s="21" t="s">
        <v>247</v>
      </c>
      <c r="C236" s="21" t="s">
        <v>11</v>
      </c>
      <c r="D236" s="21" t="s">
        <v>534</v>
      </c>
      <c r="E236" s="22">
        <v>45292</v>
      </c>
      <c r="F236" s="21" t="s">
        <v>509</v>
      </c>
      <c r="G236" s="21" t="s">
        <v>527</v>
      </c>
      <c r="H236" s="21" t="s">
        <v>520</v>
      </c>
      <c r="I236" s="5" t="s">
        <v>661</v>
      </c>
      <c r="J236" s="21" t="s">
        <v>535</v>
      </c>
      <c r="K236" s="21" t="s">
        <v>538</v>
      </c>
      <c r="L236" s="23">
        <v>44000</v>
      </c>
      <c r="M236" s="23" t="s">
        <v>673</v>
      </c>
      <c r="N236" s="23">
        <v>38000</v>
      </c>
      <c r="O236" s="23">
        <v>50000</v>
      </c>
      <c r="P236" s="23">
        <v>56000</v>
      </c>
      <c r="Q236" s="24">
        <f>Table13[[#This Row],[Monthly Gross Salary]]/Table13[[#This Row],[Mid]]</f>
        <v>0.88</v>
      </c>
      <c r="R236" s="23" t="str">
        <f t="shared" si="6"/>
        <v>Below Mid</v>
      </c>
      <c r="S236" s="23">
        <v>2</v>
      </c>
      <c r="T236" s="25">
        <f>INDEX('Merit Matrix'!$B$4:$F$8,
       MATCH($S236,'Merit Matrix'!$A$4:$A$8,0),
       MATCH(TRIM($R236),'Merit Matrix'!$B$3:$F$3,0))</f>
        <v>1.4999999999999999E-2</v>
      </c>
      <c r="U236" s="24">
        <f>Table13[[#This Row],[Salary increase %]]*Table13[[#This Row],[Monthly Gross Salary]]</f>
        <v>660</v>
      </c>
      <c r="V236" s="23">
        <f>Table13[[#This Row],[Salary increase Amount]]+Table13[[#This Row],[Monthly Gross Salary]]</f>
        <v>44660</v>
      </c>
      <c r="W236" s="75">
        <v>0.15</v>
      </c>
      <c r="X236" s="6">
        <f>Table13[[#This Row],[New Gross Salary]]*Table13[[#This Row],[STI %]]</f>
        <v>6699</v>
      </c>
      <c r="Y236" s="96">
        <v>0.5</v>
      </c>
      <c r="Z236" s="6">
        <f>Table13[[#This Row],[Target STI]]*Table13[[#This Row],[Multiplier]]</f>
        <v>3349.5</v>
      </c>
      <c r="AA236" s="26">
        <v>0.31</v>
      </c>
      <c r="AB236" s="21" t="s">
        <v>9</v>
      </c>
      <c r="AC236" s="24">
        <f>(Table13[[#This Row],[New Gross Salary]]+Table13[[#This Row],[Final STI]])*Table13[[#This Row],[Tax %]]</f>
        <v>14882.945</v>
      </c>
      <c r="AD236" s="24">
        <f>Table13[[#This Row],[New Gross Salary]]*5%</f>
        <v>2233</v>
      </c>
      <c r="AE236" s="21" cm="1">
        <f t="array" ref="AE236">_xlfn.XLOOKUP(AB236,{"A","B","C"},{500,800,1200})</f>
        <v>800</v>
      </c>
      <c r="AF236" s="24">
        <f t="shared" si="7"/>
        <v>17915.945</v>
      </c>
      <c r="AG236" s="27">
        <f>Table13[[#This Row],[New Gross Salary]]+Table13[[#This Row],[Final STI]]-Table13[[#This Row],[Total Deductions
(Tax+Pension+HP)]]</f>
        <v>30093.555</v>
      </c>
    </row>
    <row r="237" spans="1:33" x14ac:dyDescent="0.2">
      <c r="A237" s="20">
        <v>1236</v>
      </c>
      <c r="B237" s="21" t="s">
        <v>248</v>
      </c>
      <c r="C237" s="21" t="s">
        <v>5</v>
      </c>
      <c r="D237" s="21" t="s">
        <v>550</v>
      </c>
      <c r="E237" s="22">
        <v>43831</v>
      </c>
      <c r="F237" s="21" t="s">
        <v>510</v>
      </c>
      <c r="G237" s="21" t="s">
        <v>527</v>
      </c>
      <c r="H237" s="21" t="s">
        <v>520</v>
      </c>
      <c r="I237" s="5" t="s">
        <v>661</v>
      </c>
      <c r="J237" s="21" t="s">
        <v>532</v>
      </c>
      <c r="K237" s="21" t="s">
        <v>540</v>
      </c>
      <c r="L237" s="23">
        <v>88313</v>
      </c>
      <c r="M237" s="23" t="s">
        <v>673</v>
      </c>
      <c r="N237" s="23">
        <v>58000</v>
      </c>
      <c r="O237" s="23">
        <v>75000</v>
      </c>
      <c r="P237" s="23">
        <v>87000</v>
      </c>
      <c r="Q237" s="24">
        <f>Table13[[#This Row],[Monthly Gross Salary]]/Table13[[#This Row],[Mid]]</f>
        <v>1.1775066666666667</v>
      </c>
      <c r="R237" s="23" t="str">
        <f t="shared" si="6"/>
        <v>High</v>
      </c>
      <c r="S237" s="23">
        <v>2</v>
      </c>
      <c r="T237" s="25">
        <f>INDEX('Merit Matrix'!$B$4:$F$8,
       MATCH($S237,'Merit Matrix'!$A$4:$A$8,0),
       MATCH(TRIM($R237),'Merit Matrix'!$B$3:$F$3,0))</f>
        <v>0</v>
      </c>
      <c r="U237" s="24">
        <f>Table13[[#This Row],[Salary increase %]]*Table13[[#This Row],[Monthly Gross Salary]]</f>
        <v>0</v>
      </c>
      <c r="V237" s="23">
        <f>Table13[[#This Row],[Salary increase Amount]]+Table13[[#This Row],[Monthly Gross Salary]]</f>
        <v>88313</v>
      </c>
      <c r="W237" s="75">
        <v>0.2</v>
      </c>
      <c r="X237" s="6">
        <f>Table13[[#This Row],[New Gross Salary]]*Table13[[#This Row],[STI %]]</f>
        <v>17662.600000000002</v>
      </c>
      <c r="Y237" s="96">
        <v>0.5</v>
      </c>
      <c r="Z237" s="6">
        <f>Table13[[#This Row],[Target STI]]*Table13[[#This Row],[Multiplier]]</f>
        <v>8831.3000000000011</v>
      </c>
      <c r="AA237" s="26">
        <v>0.31</v>
      </c>
      <c r="AB237" s="21" t="s">
        <v>6</v>
      </c>
      <c r="AC237" s="24">
        <f>(Table13[[#This Row],[New Gross Salary]]+Table13[[#This Row],[Final STI]])*Table13[[#This Row],[Tax %]]</f>
        <v>30114.733</v>
      </c>
      <c r="AD237" s="24">
        <f>Table13[[#This Row],[New Gross Salary]]*5%</f>
        <v>4415.6500000000005</v>
      </c>
      <c r="AE237" s="21" cm="1">
        <f t="array" ref="AE237">_xlfn.XLOOKUP(AB237,{"A","B","C"},{500,800,1200})</f>
        <v>1200</v>
      </c>
      <c r="AF237" s="24">
        <f t="shared" si="7"/>
        <v>35730.383000000002</v>
      </c>
      <c r="AG237" s="27">
        <f>Table13[[#This Row],[New Gross Salary]]+Table13[[#This Row],[Final STI]]-Table13[[#This Row],[Total Deductions
(Tax+Pension+HP)]]</f>
        <v>61413.917000000001</v>
      </c>
    </row>
    <row r="238" spans="1:33" x14ac:dyDescent="0.2">
      <c r="A238" s="20">
        <v>1237</v>
      </c>
      <c r="B238" s="21" t="s">
        <v>249</v>
      </c>
      <c r="C238" s="21" t="s">
        <v>42</v>
      </c>
      <c r="D238" s="21" t="s">
        <v>556</v>
      </c>
      <c r="E238" s="22">
        <v>43831</v>
      </c>
      <c r="F238" s="21" t="s">
        <v>511</v>
      </c>
      <c r="G238" s="21" t="s">
        <v>527</v>
      </c>
      <c r="H238" s="21" t="s">
        <v>520</v>
      </c>
      <c r="I238" s="5" t="s">
        <v>661</v>
      </c>
      <c r="J238" s="21" t="s">
        <v>532</v>
      </c>
      <c r="K238" s="21" t="s">
        <v>539</v>
      </c>
      <c r="L238" s="23">
        <v>76147</v>
      </c>
      <c r="M238" s="23" t="s">
        <v>673</v>
      </c>
      <c r="N238" s="23">
        <v>55000</v>
      </c>
      <c r="O238" s="23">
        <v>75000</v>
      </c>
      <c r="P238" s="23">
        <v>85000</v>
      </c>
      <c r="Q238" s="24">
        <f>Table13[[#This Row],[Monthly Gross Salary]]/Table13[[#This Row],[Mid]]</f>
        <v>1.0152933333333334</v>
      </c>
      <c r="R238" s="23" t="str">
        <f t="shared" si="6"/>
        <v>Around Mid</v>
      </c>
      <c r="S238" s="23">
        <v>2</v>
      </c>
      <c r="T238" s="25">
        <f>INDEX('Merit Matrix'!$B$4:$F$8,
       MATCH($S238,'Merit Matrix'!$A$4:$A$8,0),
       MATCH(TRIM($R238),'Merit Matrix'!$B$3:$F$3,0))</f>
        <v>0.01</v>
      </c>
      <c r="U238" s="24">
        <f>Table13[[#This Row],[Salary increase %]]*Table13[[#This Row],[Monthly Gross Salary]]</f>
        <v>761.47</v>
      </c>
      <c r="V238" s="23">
        <f>Table13[[#This Row],[Salary increase Amount]]+Table13[[#This Row],[Monthly Gross Salary]]</f>
        <v>76908.47</v>
      </c>
      <c r="W238" s="75">
        <v>0.2</v>
      </c>
      <c r="X238" s="6">
        <f>Table13[[#This Row],[New Gross Salary]]*Table13[[#This Row],[STI %]]</f>
        <v>15381.694000000001</v>
      </c>
      <c r="Y238" s="96">
        <v>0.5</v>
      </c>
      <c r="Z238" s="6">
        <f>Table13[[#This Row],[Target STI]]*Table13[[#This Row],[Multiplier]]</f>
        <v>7690.8470000000007</v>
      </c>
      <c r="AA238" s="26">
        <v>0.3</v>
      </c>
      <c r="AB238" s="21" t="s">
        <v>18</v>
      </c>
      <c r="AC238" s="24">
        <f>(Table13[[#This Row],[New Gross Salary]]+Table13[[#This Row],[Final STI]])*Table13[[#This Row],[Tax %]]</f>
        <v>25379.795099999999</v>
      </c>
      <c r="AD238" s="24">
        <f>Table13[[#This Row],[New Gross Salary]]*5%</f>
        <v>3845.4235000000003</v>
      </c>
      <c r="AE238" s="21" cm="1">
        <f t="array" ref="AE238">_xlfn.XLOOKUP(AB238,{"A","B","C"},{500,800,1200})</f>
        <v>500</v>
      </c>
      <c r="AF238" s="24">
        <f t="shared" si="7"/>
        <v>29725.2186</v>
      </c>
      <c r="AG238" s="27">
        <f>Table13[[#This Row],[New Gross Salary]]+Table13[[#This Row],[Final STI]]-Table13[[#This Row],[Total Deductions
(Tax+Pension+HP)]]</f>
        <v>54874.098399999995</v>
      </c>
    </row>
    <row r="239" spans="1:33" x14ac:dyDescent="0.2">
      <c r="A239" s="20">
        <v>1238</v>
      </c>
      <c r="B239" s="21" t="s">
        <v>250</v>
      </c>
      <c r="C239" s="21" t="s">
        <v>11</v>
      </c>
      <c r="D239" s="21" t="s">
        <v>534</v>
      </c>
      <c r="E239" s="22">
        <v>45292</v>
      </c>
      <c r="F239" s="21" t="s">
        <v>512</v>
      </c>
      <c r="G239" s="21" t="s">
        <v>527</v>
      </c>
      <c r="H239" s="21" t="s">
        <v>520</v>
      </c>
      <c r="I239" s="5" t="s">
        <v>661</v>
      </c>
      <c r="J239" s="21" t="s">
        <v>535</v>
      </c>
      <c r="K239" s="21" t="s">
        <v>538</v>
      </c>
      <c r="L239" s="23">
        <v>44000</v>
      </c>
      <c r="M239" s="23" t="s">
        <v>673</v>
      </c>
      <c r="N239" s="23">
        <v>38000</v>
      </c>
      <c r="O239" s="23">
        <v>50000</v>
      </c>
      <c r="P239" s="23">
        <v>56000</v>
      </c>
      <c r="Q239" s="24">
        <f>Table13[[#This Row],[Monthly Gross Salary]]/Table13[[#This Row],[Mid]]</f>
        <v>0.88</v>
      </c>
      <c r="R239" s="23" t="str">
        <f t="shared" si="6"/>
        <v>Below Mid</v>
      </c>
      <c r="S239" s="23">
        <v>2</v>
      </c>
      <c r="T239" s="25">
        <f>INDEX('Merit Matrix'!$B$4:$F$8,
       MATCH($S239,'Merit Matrix'!$A$4:$A$8,0),
       MATCH(TRIM($R239),'Merit Matrix'!$B$3:$F$3,0))</f>
        <v>1.4999999999999999E-2</v>
      </c>
      <c r="U239" s="24">
        <f>Table13[[#This Row],[Salary increase %]]*Table13[[#This Row],[Monthly Gross Salary]]</f>
        <v>660</v>
      </c>
      <c r="V239" s="23">
        <f>Table13[[#This Row],[Salary increase Amount]]+Table13[[#This Row],[Monthly Gross Salary]]</f>
        <v>44660</v>
      </c>
      <c r="W239" s="75">
        <v>0.15</v>
      </c>
      <c r="X239" s="6">
        <f>Table13[[#This Row],[New Gross Salary]]*Table13[[#This Row],[STI %]]</f>
        <v>6699</v>
      </c>
      <c r="Y239" s="96">
        <v>0.5</v>
      </c>
      <c r="Z239" s="6">
        <f>Table13[[#This Row],[Target STI]]*Table13[[#This Row],[Multiplier]]</f>
        <v>3349.5</v>
      </c>
      <c r="AA239" s="26">
        <v>0.28000000000000003</v>
      </c>
      <c r="AB239" s="21" t="s">
        <v>6</v>
      </c>
      <c r="AC239" s="24">
        <f>(Table13[[#This Row],[New Gross Salary]]+Table13[[#This Row],[Final STI]])*Table13[[#This Row],[Tax %]]</f>
        <v>13442.660000000002</v>
      </c>
      <c r="AD239" s="24">
        <f>Table13[[#This Row],[New Gross Salary]]*5%</f>
        <v>2233</v>
      </c>
      <c r="AE239" s="21" cm="1">
        <f t="array" ref="AE239">_xlfn.XLOOKUP(AB239,{"A","B","C"},{500,800,1200})</f>
        <v>1200</v>
      </c>
      <c r="AF239" s="24">
        <f t="shared" si="7"/>
        <v>16875.660000000003</v>
      </c>
      <c r="AG239" s="27">
        <f>Table13[[#This Row],[New Gross Salary]]+Table13[[#This Row],[Final STI]]-Table13[[#This Row],[Total Deductions
(Tax+Pension+HP)]]</f>
        <v>31133.839999999997</v>
      </c>
    </row>
    <row r="240" spans="1:33" x14ac:dyDescent="0.2">
      <c r="A240" s="20">
        <v>1239</v>
      </c>
      <c r="B240" s="21" t="s">
        <v>251</v>
      </c>
      <c r="C240" s="21" t="s">
        <v>42</v>
      </c>
      <c r="D240" s="21" t="s">
        <v>556</v>
      </c>
      <c r="E240" s="22">
        <v>43831</v>
      </c>
      <c r="F240" s="21" t="s">
        <v>513</v>
      </c>
      <c r="G240" s="21" t="s">
        <v>527</v>
      </c>
      <c r="H240" s="21" t="s">
        <v>520</v>
      </c>
      <c r="I240" s="5" t="s">
        <v>661</v>
      </c>
      <c r="J240" s="21" t="s">
        <v>532</v>
      </c>
      <c r="K240" s="21" t="s">
        <v>539</v>
      </c>
      <c r="L240" s="23">
        <v>76147</v>
      </c>
      <c r="M240" s="23" t="s">
        <v>673</v>
      </c>
      <c r="N240" s="23">
        <v>55000</v>
      </c>
      <c r="O240" s="23">
        <v>75000</v>
      </c>
      <c r="P240" s="23">
        <v>85000</v>
      </c>
      <c r="Q240" s="24">
        <f>Table13[[#This Row],[Monthly Gross Salary]]/Table13[[#This Row],[Mid]]</f>
        <v>1.0152933333333334</v>
      </c>
      <c r="R240" s="23" t="str">
        <f t="shared" si="6"/>
        <v>Around Mid</v>
      </c>
      <c r="S240" s="23">
        <v>2</v>
      </c>
      <c r="T240" s="25">
        <f>INDEX('Merit Matrix'!$B$4:$F$8,
       MATCH($S240,'Merit Matrix'!$A$4:$A$8,0),
       MATCH(TRIM($R240),'Merit Matrix'!$B$3:$F$3,0))</f>
        <v>0.01</v>
      </c>
      <c r="U240" s="24">
        <f>Table13[[#This Row],[Salary increase %]]*Table13[[#This Row],[Monthly Gross Salary]]</f>
        <v>761.47</v>
      </c>
      <c r="V240" s="23">
        <f>Table13[[#This Row],[Salary increase Amount]]+Table13[[#This Row],[Monthly Gross Salary]]</f>
        <v>76908.47</v>
      </c>
      <c r="W240" s="75">
        <v>0.2</v>
      </c>
      <c r="X240" s="6">
        <f>Table13[[#This Row],[New Gross Salary]]*Table13[[#This Row],[STI %]]</f>
        <v>15381.694000000001</v>
      </c>
      <c r="Y240" s="96">
        <v>0.5</v>
      </c>
      <c r="Z240" s="6">
        <f>Table13[[#This Row],[Target STI]]*Table13[[#This Row],[Multiplier]]</f>
        <v>7690.8470000000007</v>
      </c>
      <c r="AA240" s="26">
        <v>0.32</v>
      </c>
      <c r="AB240" s="21" t="s">
        <v>9</v>
      </c>
      <c r="AC240" s="24">
        <f>(Table13[[#This Row],[New Gross Salary]]+Table13[[#This Row],[Final STI]])*Table13[[#This Row],[Tax %]]</f>
        <v>27071.781439999999</v>
      </c>
      <c r="AD240" s="24">
        <f>Table13[[#This Row],[New Gross Salary]]*5%</f>
        <v>3845.4235000000003</v>
      </c>
      <c r="AE240" s="21" cm="1">
        <f t="array" ref="AE240">_xlfn.XLOOKUP(AB240,{"A","B","C"},{500,800,1200})</f>
        <v>800</v>
      </c>
      <c r="AF240" s="24">
        <f t="shared" si="7"/>
        <v>31717.20494</v>
      </c>
      <c r="AG240" s="27">
        <f>Table13[[#This Row],[New Gross Salary]]+Table13[[#This Row],[Final STI]]-Table13[[#This Row],[Total Deductions
(Tax+Pension+HP)]]</f>
        <v>52882.112059999999</v>
      </c>
    </row>
    <row r="241" spans="1:33" x14ac:dyDescent="0.2">
      <c r="A241" s="20">
        <v>1240</v>
      </c>
      <c r="B241" s="21" t="s">
        <v>252</v>
      </c>
      <c r="C241" s="21" t="s">
        <v>11</v>
      </c>
      <c r="D241" s="21" t="s">
        <v>534</v>
      </c>
      <c r="E241" s="22">
        <v>45292</v>
      </c>
      <c r="F241" s="21" t="s">
        <v>514</v>
      </c>
      <c r="G241" s="21" t="s">
        <v>527</v>
      </c>
      <c r="H241" s="21" t="s">
        <v>520</v>
      </c>
      <c r="I241" s="5" t="s">
        <v>661</v>
      </c>
      <c r="J241" s="21" t="s">
        <v>535</v>
      </c>
      <c r="K241" s="21" t="s">
        <v>538</v>
      </c>
      <c r="L241" s="23">
        <v>44000</v>
      </c>
      <c r="M241" s="23" t="s">
        <v>673</v>
      </c>
      <c r="N241" s="23">
        <v>38000</v>
      </c>
      <c r="O241" s="23">
        <v>50000</v>
      </c>
      <c r="P241" s="23">
        <v>56000</v>
      </c>
      <c r="Q241" s="24">
        <f>Table13[[#This Row],[Monthly Gross Salary]]/Table13[[#This Row],[Mid]]</f>
        <v>0.88</v>
      </c>
      <c r="R241" s="23" t="str">
        <f t="shared" si="6"/>
        <v>Below Mid</v>
      </c>
      <c r="S241" s="23">
        <v>2</v>
      </c>
      <c r="T241" s="25">
        <f>INDEX('Merit Matrix'!$B$4:$F$8,
       MATCH($S241,'Merit Matrix'!$A$4:$A$8,0),
       MATCH(TRIM($R241),'Merit Matrix'!$B$3:$F$3,0))</f>
        <v>1.4999999999999999E-2</v>
      </c>
      <c r="U241" s="24">
        <f>Table13[[#This Row],[Salary increase %]]*Table13[[#This Row],[Monthly Gross Salary]]</f>
        <v>660</v>
      </c>
      <c r="V241" s="23">
        <f>Table13[[#This Row],[Salary increase Amount]]+Table13[[#This Row],[Monthly Gross Salary]]</f>
        <v>44660</v>
      </c>
      <c r="W241" s="75">
        <v>0.15</v>
      </c>
      <c r="X241" s="6">
        <f>Table13[[#This Row],[New Gross Salary]]*Table13[[#This Row],[STI %]]</f>
        <v>6699</v>
      </c>
      <c r="Y241" s="96">
        <v>0.5</v>
      </c>
      <c r="Z241" s="6">
        <f>Table13[[#This Row],[Target STI]]*Table13[[#This Row],[Multiplier]]</f>
        <v>3349.5</v>
      </c>
      <c r="AA241" s="26">
        <v>0.27</v>
      </c>
      <c r="AB241" s="21" t="s">
        <v>9</v>
      </c>
      <c r="AC241" s="24">
        <f>(Table13[[#This Row],[New Gross Salary]]+Table13[[#This Row],[Final STI]])*Table13[[#This Row],[Tax %]]</f>
        <v>12962.565000000001</v>
      </c>
      <c r="AD241" s="24">
        <f>Table13[[#This Row],[New Gross Salary]]*5%</f>
        <v>2233</v>
      </c>
      <c r="AE241" s="21" cm="1">
        <f t="array" ref="AE241">_xlfn.XLOOKUP(AB241,{"A","B","C"},{500,800,1200})</f>
        <v>800</v>
      </c>
      <c r="AF241" s="24">
        <f t="shared" si="7"/>
        <v>15995.565000000001</v>
      </c>
      <c r="AG241" s="27">
        <f>Table13[[#This Row],[New Gross Salary]]+Table13[[#This Row],[Final STI]]-Table13[[#This Row],[Total Deductions
(Tax+Pension+HP)]]</f>
        <v>32013.934999999998</v>
      </c>
    </row>
    <row r="242" spans="1:33" x14ac:dyDescent="0.2">
      <c r="A242" s="20">
        <v>1241</v>
      </c>
      <c r="B242" s="21" t="s">
        <v>253</v>
      </c>
      <c r="C242" s="21" t="s">
        <v>42</v>
      </c>
      <c r="D242" s="21" t="s">
        <v>556</v>
      </c>
      <c r="E242" s="22">
        <v>43831</v>
      </c>
      <c r="F242" s="21" t="s">
        <v>515</v>
      </c>
      <c r="G242" s="21" t="s">
        <v>527</v>
      </c>
      <c r="H242" s="21" t="s">
        <v>520</v>
      </c>
      <c r="I242" s="5" t="s">
        <v>661</v>
      </c>
      <c r="J242" s="21" t="s">
        <v>532</v>
      </c>
      <c r="K242" s="21" t="s">
        <v>539</v>
      </c>
      <c r="L242" s="23">
        <v>76147</v>
      </c>
      <c r="M242" s="23" t="s">
        <v>673</v>
      </c>
      <c r="N242" s="23">
        <v>55000</v>
      </c>
      <c r="O242" s="23">
        <v>75000</v>
      </c>
      <c r="P242" s="23">
        <v>85000</v>
      </c>
      <c r="Q242" s="24">
        <f>Table13[[#This Row],[Monthly Gross Salary]]/Table13[[#This Row],[Mid]]</f>
        <v>1.0152933333333334</v>
      </c>
      <c r="R242" s="23" t="str">
        <f t="shared" si="6"/>
        <v>Around Mid</v>
      </c>
      <c r="S242" s="23">
        <v>2</v>
      </c>
      <c r="T242" s="25">
        <f>INDEX('Merit Matrix'!$B$4:$F$8,
       MATCH($S242,'Merit Matrix'!$A$4:$A$8,0),
       MATCH(TRIM($R242),'Merit Matrix'!$B$3:$F$3,0))</f>
        <v>0.01</v>
      </c>
      <c r="U242" s="24">
        <f>Table13[[#This Row],[Salary increase %]]*Table13[[#This Row],[Monthly Gross Salary]]</f>
        <v>761.47</v>
      </c>
      <c r="V242" s="23">
        <f>Table13[[#This Row],[Salary increase Amount]]+Table13[[#This Row],[Monthly Gross Salary]]</f>
        <v>76908.47</v>
      </c>
      <c r="W242" s="75">
        <v>0.2</v>
      </c>
      <c r="X242" s="6">
        <f>Table13[[#This Row],[New Gross Salary]]*Table13[[#This Row],[STI %]]</f>
        <v>15381.694000000001</v>
      </c>
      <c r="Y242" s="96">
        <v>0.5</v>
      </c>
      <c r="Z242" s="6">
        <f>Table13[[#This Row],[Target STI]]*Table13[[#This Row],[Multiplier]]</f>
        <v>7690.8470000000007</v>
      </c>
      <c r="AA242" s="26">
        <v>0.31</v>
      </c>
      <c r="AB242" s="21" t="s">
        <v>6</v>
      </c>
      <c r="AC242" s="24">
        <f>(Table13[[#This Row],[New Gross Salary]]+Table13[[#This Row],[Final STI]])*Table13[[#This Row],[Tax %]]</f>
        <v>26225.788269999997</v>
      </c>
      <c r="AD242" s="24">
        <f>Table13[[#This Row],[New Gross Salary]]*5%</f>
        <v>3845.4235000000003</v>
      </c>
      <c r="AE242" s="21" cm="1">
        <f t="array" ref="AE242">_xlfn.XLOOKUP(AB242,{"A","B","C"},{500,800,1200})</f>
        <v>1200</v>
      </c>
      <c r="AF242" s="24">
        <f t="shared" si="7"/>
        <v>31271.211769999998</v>
      </c>
      <c r="AG242" s="27">
        <f>Table13[[#This Row],[New Gross Salary]]+Table13[[#This Row],[Final STI]]-Table13[[#This Row],[Total Deductions
(Tax+Pension+HP)]]</f>
        <v>53328.105230000001</v>
      </c>
    </row>
    <row r="243" spans="1:33" x14ac:dyDescent="0.2">
      <c r="A243" s="20">
        <v>1242</v>
      </c>
      <c r="B243" s="21" t="s">
        <v>254</v>
      </c>
      <c r="C243" s="21" t="s">
        <v>5</v>
      </c>
      <c r="D243" s="21" t="s">
        <v>550</v>
      </c>
      <c r="E243" s="22">
        <v>43831</v>
      </c>
      <c r="F243" s="21" t="s">
        <v>516</v>
      </c>
      <c r="G243" s="21" t="s">
        <v>527</v>
      </c>
      <c r="H243" s="21" t="s">
        <v>520</v>
      </c>
      <c r="I243" s="5" t="s">
        <v>661</v>
      </c>
      <c r="J243" s="21" t="s">
        <v>532</v>
      </c>
      <c r="K243" s="21" t="s">
        <v>540</v>
      </c>
      <c r="L243" s="23">
        <v>88313</v>
      </c>
      <c r="M243" s="23" t="s">
        <v>673</v>
      </c>
      <c r="N243" s="23">
        <v>58000</v>
      </c>
      <c r="O243" s="23">
        <v>75000</v>
      </c>
      <c r="P243" s="23">
        <v>87000</v>
      </c>
      <c r="Q243" s="24">
        <f>Table13[[#This Row],[Monthly Gross Salary]]/Table13[[#This Row],[Mid]]</f>
        <v>1.1775066666666667</v>
      </c>
      <c r="R243" s="23" t="str">
        <f t="shared" si="6"/>
        <v>High</v>
      </c>
      <c r="S243" s="23">
        <v>2</v>
      </c>
      <c r="T243" s="25">
        <f>INDEX('Merit Matrix'!$B$4:$F$8,
       MATCH($S243,'Merit Matrix'!$A$4:$A$8,0),
       MATCH(TRIM($R243),'Merit Matrix'!$B$3:$F$3,0))</f>
        <v>0</v>
      </c>
      <c r="U243" s="24">
        <f>Table13[[#This Row],[Salary increase %]]*Table13[[#This Row],[Monthly Gross Salary]]</f>
        <v>0</v>
      </c>
      <c r="V243" s="23">
        <f>Table13[[#This Row],[Salary increase Amount]]+Table13[[#This Row],[Monthly Gross Salary]]</f>
        <v>88313</v>
      </c>
      <c r="W243" s="75">
        <v>0.2</v>
      </c>
      <c r="X243" s="6">
        <f>Table13[[#This Row],[New Gross Salary]]*Table13[[#This Row],[STI %]]</f>
        <v>17662.600000000002</v>
      </c>
      <c r="Y243" s="96">
        <v>0.5</v>
      </c>
      <c r="Z243" s="6">
        <f>Table13[[#This Row],[Target STI]]*Table13[[#This Row],[Multiplier]]</f>
        <v>8831.3000000000011</v>
      </c>
      <c r="AA243" s="26">
        <v>0.32</v>
      </c>
      <c r="AB243" s="21" t="s">
        <v>18</v>
      </c>
      <c r="AC243" s="24">
        <f>(Table13[[#This Row],[New Gross Salary]]+Table13[[#This Row],[Final STI]])*Table13[[#This Row],[Tax %]]</f>
        <v>31086.176000000003</v>
      </c>
      <c r="AD243" s="24">
        <f>Table13[[#This Row],[New Gross Salary]]*5%</f>
        <v>4415.6500000000005</v>
      </c>
      <c r="AE243" s="21" cm="1">
        <f t="array" ref="AE243">_xlfn.XLOOKUP(AB243,{"A","B","C"},{500,800,1200})</f>
        <v>500</v>
      </c>
      <c r="AF243" s="24">
        <f t="shared" si="7"/>
        <v>36001.826000000001</v>
      </c>
      <c r="AG243" s="27">
        <f>Table13[[#This Row],[New Gross Salary]]+Table13[[#This Row],[Final STI]]-Table13[[#This Row],[Total Deductions
(Tax+Pension+HP)]]</f>
        <v>61142.474000000002</v>
      </c>
    </row>
    <row r="244" spans="1:33" x14ac:dyDescent="0.2">
      <c r="A244" s="20">
        <v>1243</v>
      </c>
      <c r="B244" s="21" t="s">
        <v>255</v>
      </c>
      <c r="C244" s="21" t="s">
        <v>8</v>
      </c>
      <c r="D244" s="21" t="s">
        <v>545</v>
      </c>
      <c r="E244" s="22">
        <v>45292</v>
      </c>
      <c r="F244" s="21" t="s">
        <v>517</v>
      </c>
      <c r="G244" s="21" t="s">
        <v>527</v>
      </c>
      <c r="H244" s="21" t="s">
        <v>520</v>
      </c>
      <c r="I244" s="5" t="s">
        <v>661</v>
      </c>
      <c r="J244" s="21" t="s">
        <v>535</v>
      </c>
      <c r="K244" s="21" t="s">
        <v>538</v>
      </c>
      <c r="L244" s="23">
        <v>44000</v>
      </c>
      <c r="M244" s="23" t="s">
        <v>673</v>
      </c>
      <c r="N244" s="23">
        <v>38000</v>
      </c>
      <c r="O244" s="23">
        <v>50000</v>
      </c>
      <c r="P244" s="23">
        <v>56000</v>
      </c>
      <c r="Q244" s="24">
        <f>Table13[[#This Row],[Monthly Gross Salary]]/Table13[[#This Row],[Mid]]</f>
        <v>0.88</v>
      </c>
      <c r="R244" s="23" t="str">
        <f t="shared" si="6"/>
        <v>Below Mid</v>
      </c>
      <c r="S244" s="23">
        <v>2</v>
      </c>
      <c r="T244" s="25">
        <f>INDEX('Merit Matrix'!$B$4:$F$8,
       MATCH($S244,'Merit Matrix'!$A$4:$A$8,0),
       MATCH(TRIM($R244),'Merit Matrix'!$B$3:$F$3,0))</f>
        <v>1.4999999999999999E-2</v>
      </c>
      <c r="U244" s="24">
        <f>Table13[[#This Row],[Salary increase %]]*Table13[[#This Row],[Monthly Gross Salary]]</f>
        <v>660</v>
      </c>
      <c r="V244" s="23">
        <f>Table13[[#This Row],[Salary increase Amount]]+Table13[[#This Row],[Monthly Gross Salary]]</f>
        <v>44660</v>
      </c>
      <c r="W244" s="75">
        <v>0.15</v>
      </c>
      <c r="X244" s="6">
        <f>Table13[[#This Row],[New Gross Salary]]*Table13[[#This Row],[STI %]]</f>
        <v>6699</v>
      </c>
      <c r="Y244" s="96">
        <v>0.5</v>
      </c>
      <c r="Z244" s="6">
        <f>Table13[[#This Row],[Target STI]]*Table13[[#This Row],[Multiplier]]</f>
        <v>3349.5</v>
      </c>
      <c r="AA244" s="26">
        <v>0.28999999999999998</v>
      </c>
      <c r="AB244" s="21" t="s">
        <v>9</v>
      </c>
      <c r="AC244" s="24">
        <f>(Table13[[#This Row],[New Gross Salary]]+Table13[[#This Row],[Final STI]])*Table13[[#This Row],[Tax %]]</f>
        <v>13922.754999999999</v>
      </c>
      <c r="AD244" s="24">
        <f>Table13[[#This Row],[New Gross Salary]]*5%</f>
        <v>2233</v>
      </c>
      <c r="AE244" s="21" cm="1">
        <f t="array" ref="AE244">_xlfn.XLOOKUP(AB244,{"A","B","C"},{500,800,1200})</f>
        <v>800</v>
      </c>
      <c r="AF244" s="24">
        <f t="shared" si="7"/>
        <v>16955.754999999997</v>
      </c>
      <c r="AG244" s="27">
        <f>Table13[[#This Row],[New Gross Salary]]+Table13[[#This Row],[Final STI]]-Table13[[#This Row],[Total Deductions
(Tax+Pension+HP)]]</f>
        <v>31053.745000000003</v>
      </c>
    </row>
    <row r="245" spans="1:33" x14ac:dyDescent="0.2">
      <c r="A245" s="20">
        <v>1244</v>
      </c>
      <c r="B245" s="21" t="s">
        <v>256</v>
      </c>
      <c r="C245" s="21" t="s">
        <v>42</v>
      </c>
      <c r="D245" s="21" t="s">
        <v>556</v>
      </c>
      <c r="E245" s="22">
        <v>43831</v>
      </c>
      <c r="F245" s="21" t="s">
        <v>518</v>
      </c>
      <c r="G245" s="21" t="s">
        <v>527</v>
      </c>
      <c r="H245" s="21" t="s">
        <v>520</v>
      </c>
      <c r="I245" s="5" t="s">
        <v>661</v>
      </c>
      <c r="J245" s="21" t="s">
        <v>532</v>
      </c>
      <c r="K245" s="21" t="s">
        <v>539</v>
      </c>
      <c r="L245" s="23">
        <v>76147</v>
      </c>
      <c r="M245" s="23" t="s">
        <v>673</v>
      </c>
      <c r="N245" s="23">
        <v>55000</v>
      </c>
      <c r="O245" s="23">
        <v>75000</v>
      </c>
      <c r="P245" s="23">
        <v>85000</v>
      </c>
      <c r="Q245" s="24">
        <f>Table13[[#This Row],[Monthly Gross Salary]]/Table13[[#This Row],[Mid]]</f>
        <v>1.0152933333333334</v>
      </c>
      <c r="R245" s="23" t="str">
        <f t="shared" si="6"/>
        <v>Around Mid</v>
      </c>
      <c r="S245" s="23">
        <v>2</v>
      </c>
      <c r="T245" s="25">
        <f>INDEX('Merit Matrix'!$B$4:$F$8,
       MATCH($S245,'Merit Matrix'!$A$4:$A$8,0),
       MATCH(TRIM($R245),'Merit Matrix'!$B$3:$F$3,0))</f>
        <v>0.01</v>
      </c>
      <c r="U245" s="24">
        <f>Table13[[#This Row],[Salary increase %]]*Table13[[#This Row],[Monthly Gross Salary]]</f>
        <v>761.47</v>
      </c>
      <c r="V245" s="23">
        <f>Table13[[#This Row],[Salary increase Amount]]+Table13[[#This Row],[Monthly Gross Salary]]</f>
        <v>76908.47</v>
      </c>
      <c r="W245" s="75">
        <v>0.2</v>
      </c>
      <c r="X245" s="6">
        <f>Table13[[#This Row],[New Gross Salary]]*Table13[[#This Row],[STI %]]</f>
        <v>15381.694000000001</v>
      </c>
      <c r="Y245" s="96">
        <v>0.5</v>
      </c>
      <c r="Z245" s="6">
        <f>Table13[[#This Row],[Target STI]]*Table13[[#This Row],[Multiplier]]</f>
        <v>7690.8470000000007</v>
      </c>
      <c r="AA245" s="26">
        <v>0.31</v>
      </c>
      <c r="AB245" s="21" t="s">
        <v>6</v>
      </c>
      <c r="AC245" s="24">
        <f>(Table13[[#This Row],[New Gross Salary]]+Table13[[#This Row],[Final STI]])*Table13[[#This Row],[Tax %]]</f>
        <v>26225.788269999997</v>
      </c>
      <c r="AD245" s="24">
        <f>Table13[[#This Row],[New Gross Salary]]*5%</f>
        <v>3845.4235000000003</v>
      </c>
      <c r="AE245" s="21" cm="1">
        <f t="array" ref="AE245">_xlfn.XLOOKUP(AB245,{"A","B","C"},{500,800,1200})</f>
        <v>1200</v>
      </c>
      <c r="AF245" s="24">
        <f t="shared" si="7"/>
        <v>31271.211769999998</v>
      </c>
      <c r="AG245" s="27">
        <f>Table13[[#This Row],[New Gross Salary]]+Table13[[#This Row],[Final STI]]-Table13[[#This Row],[Total Deductions
(Tax+Pension+HP)]]</f>
        <v>53328.105230000001</v>
      </c>
    </row>
    <row r="246" spans="1:33" x14ac:dyDescent="0.2">
      <c r="A246" s="20">
        <v>1245</v>
      </c>
      <c r="B246" s="21" t="s">
        <v>257</v>
      </c>
      <c r="C246" s="21" t="s">
        <v>14</v>
      </c>
      <c r="D246" s="21" t="s">
        <v>554</v>
      </c>
      <c r="E246" s="22">
        <v>43101</v>
      </c>
      <c r="F246" s="21" t="s">
        <v>566</v>
      </c>
      <c r="G246" s="21" t="s">
        <v>527</v>
      </c>
      <c r="H246" s="21" t="s">
        <v>520</v>
      </c>
      <c r="I246" s="5" t="s">
        <v>661</v>
      </c>
      <c r="J246" s="21" t="s">
        <v>547</v>
      </c>
      <c r="K246" s="21" t="s">
        <v>541</v>
      </c>
      <c r="L246" s="23">
        <v>95656</v>
      </c>
      <c r="M246" s="23" t="s">
        <v>673</v>
      </c>
      <c r="N246" s="23">
        <v>66959</v>
      </c>
      <c r="O246" s="23">
        <v>95656</v>
      </c>
      <c r="P246" s="23">
        <v>124353</v>
      </c>
      <c r="Q246" s="24">
        <f>Table13[[#This Row],[Monthly Gross Salary]]/Table13[[#This Row],[Mid]]</f>
        <v>1</v>
      </c>
      <c r="R246" s="23" t="str">
        <f t="shared" si="6"/>
        <v>Around Mid</v>
      </c>
      <c r="S246" s="23">
        <v>5</v>
      </c>
      <c r="T246" s="25">
        <f>INDEX('Merit Matrix'!$B$4:$F$8,
       MATCH($S246,'Merit Matrix'!$A$4:$A$8,0),
       MATCH(TRIM($R246),'Merit Matrix'!$B$3:$F$3,0))</f>
        <v>0.06</v>
      </c>
      <c r="U246" s="24">
        <f>Table13[[#This Row],[Salary increase %]]*Table13[[#This Row],[Monthly Gross Salary]]</f>
        <v>5739.36</v>
      </c>
      <c r="V246" s="23">
        <f>Table13[[#This Row],[Salary increase Amount]]+Table13[[#This Row],[Monthly Gross Salary]]</f>
        <v>101395.36</v>
      </c>
      <c r="W246" s="75">
        <v>0.25</v>
      </c>
      <c r="X246" s="6">
        <f>Table13[[#This Row],[New Gross Salary]]*Table13[[#This Row],[STI %]]</f>
        <v>25348.84</v>
      </c>
      <c r="Y246" s="96">
        <v>1.5</v>
      </c>
      <c r="Z246" s="6">
        <f>Table13[[#This Row],[Target STI]]*Table13[[#This Row],[Multiplier]]</f>
        <v>38023.26</v>
      </c>
      <c r="AA246" s="26">
        <v>0.32</v>
      </c>
      <c r="AB246" s="21" t="s">
        <v>18</v>
      </c>
      <c r="AC246" s="24">
        <f>(Table13[[#This Row],[New Gross Salary]]+Table13[[#This Row],[Final STI]])*Table13[[#This Row],[Tax %]]</f>
        <v>44613.958399999996</v>
      </c>
      <c r="AD246" s="24">
        <f>Table13[[#This Row],[New Gross Salary]]*5%</f>
        <v>5069.768</v>
      </c>
      <c r="AE246" s="21" cm="1">
        <f t="array" ref="AE246">_xlfn.XLOOKUP(AB246,{"A","B","C"},{500,800,1200})</f>
        <v>500</v>
      </c>
      <c r="AF246" s="24">
        <f t="shared" si="7"/>
        <v>50183.7264</v>
      </c>
      <c r="AG246" s="27">
        <f>Table13[[#This Row],[New Gross Salary]]+Table13[[#This Row],[Final STI]]-Table13[[#This Row],[Total Deductions
(Tax+Pension+HP)]]</f>
        <v>89234.893599999996</v>
      </c>
    </row>
    <row r="247" spans="1:33" x14ac:dyDescent="0.2">
      <c r="A247" s="20">
        <v>1246</v>
      </c>
      <c r="B247" s="21" t="s">
        <v>258</v>
      </c>
      <c r="C247" s="21" t="s">
        <v>42</v>
      </c>
      <c r="D247" s="21" t="s">
        <v>557</v>
      </c>
      <c r="E247" s="22">
        <v>43101</v>
      </c>
      <c r="F247" s="21" t="s">
        <v>566</v>
      </c>
      <c r="G247" s="21" t="s">
        <v>527</v>
      </c>
      <c r="H247" s="21" t="s">
        <v>520</v>
      </c>
      <c r="I247" s="5" t="s">
        <v>661</v>
      </c>
      <c r="J247" s="21" t="s">
        <v>547</v>
      </c>
      <c r="K247" s="21" t="s">
        <v>541</v>
      </c>
      <c r="L247" s="23">
        <v>95656</v>
      </c>
      <c r="M247" s="23" t="s">
        <v>673</v>
      </c>
      <c r="N247" s="23">
        <v>66959</v>
      </c>
      <c r="O247" s="23">
        <v>95656</v>
      </c>
      <c r="P247" s="23">
        <v>124353</v>
      </c>
      <c r="Q247" s="24">
        <f>Table13[[#This Row],[Monthly Gross Salary]]/Table13[[#This Row],[Mid]]</f>
        <v>1</v>
      </c>
      <c r="R247" s="23" t="str">
        <f t="shared" si="6"/>
        <v>Around Mid</v>
      </c>
      <c r="S247" s="23">
        <v>5</v>
      </c>
      <c r="T247" s="25">
        <f>INDEX('Merit Matrix'!$B$4:$F$8,
       MATCH($S247,'Merit Matrix'!$A$4:$A$8,0),
       MATCH(TRIM($R247),'Merit Matrix'!$B$3:$F$3,0))</f>
        <v>0.06</v>
      </c>
      <c r="U247" s="24">
        <f>Table13[[#This Row],[Salary increase %]]*Table13[[#This Row],[Monthly Gross Salary]]</f>
        <v>5739.36</v>
      </c>
      <c r="V247" s="23">
        <f>Table13[[#This Row],[Salary increase Amount]]+Table13[[#This Row],[Monthly Gross Salary]]</f>
        <v>101395.36</v>
      </c>
      <c r="W247" s="75">
        <v>0.25</v>
      </c>
      <c r="X247" s="6">
        <f>Table13[[#This Row],[New Gross Salary]]*Table13[[#This Row],[STI %]]</f>
        <v>25348.84</v>
      </c>
      <c r="Y247" s="96">
        <v>1.5</v>
      </c>
      <c r="Z247" s="6">
        <f>Table13[[#This Row],[Target STI]]*Table13[[#This Row],[Multiplier]]</f>
        <v>38023.26</v>
      </c>
      <c r="AA247" s="26">
        <v>0.32</v>
      </c>
      <c r="AB247" s="21" t="s">
        <v>9</v>
      </c>
      <c r="AC247" s="24">
        <f>(Table13[[#This Row],[New Gross Salary]]+Table13[[#This Row],[Final STI]])*Table13[[#This Row],[Tax %]]</f>
        <v>44613.958399999996</v>
      </c>
      <c r="AD247" s="24">
        <f>Table13[[#This Row],[New Gross Salary]]*5%</f>
        <v>5069.768</v>
      </c>
      <c r="AE247" s="21" cm="1">
        <f t="array" ref="AE247">_xlfn.XLOOKUP(AB247,{"A","B","C"},{500,800,1200})</f>
        <v>800</v>
      </c>
      <c r="AF247" s="24">
        <f t="shared" si="7"/>
        <v>50483.7264</v>
      </c>
      <c r="AG247" s="27">
        <f>Table13[[#This Row],[New Gross Salary]]+Table13[[#This Row],[Final STI]]-Table13[[#This Row],[Total Deductions
(Tax+Pension+HP)]]</f>
        <v>88934.893599999996</v>
      </c>
    </row>
    <row r="248" spans="1:33" x14ac:dyDescent="0.2">
      <c r="A248" s="20">
        <v>1247</v>
      </c>
      <c r="B248" s="21" t="s">
        <v>259</v>
      </c>
      <c r="C248" s="21" t="s">
        <v>11</v>
      </c>
      <c r="D248" s="21" t="s">
        <v>530</v>
      </c>
      <c r="E248" s="22">
        <v>43101</v>
      </c>
      <c r="F248" s="21" t="s">
        <v>566</v>
      </c>
      <c r="G248" s="21" t="s">
        <v>527</v>
      </c>
      <c r="H248" s="21" t="s">
        <v>520</v>
      </c>
      <c r="I248" s="5" t="s">
        <v>661</v>
      </c>
      <c r="J248" s="21" t="s">
        <v>547</v>
      </c>
      <c r="K248" s="21" t="s">
        <v>541</v>
      </c>
      <c r="L248" s="23">
        <v>95656</v>
      </c>
      <c r="M248" s="23" t="s">
        <v>673</v>
      </c>
      <c r="N248" s="23">
        <v>66959</v>
      </c>
      <c r="O248" s="23">
        <v>95656</v>
      </c>
      <c r="P248" s="23">
        <v>124353</v>
      </c>
      <c r="Q248" s="24">
        <f>Table13[[#This Row],[Monthly Gross Salary]]/Table13[[#This Row],[Mid]]</f>
        <v>1</v>
      </c>
      <c r="R248" s="23" t="str">
        <f t="shared" si="6"/>
        <v>Around Mid</v>
      </c>
      <c r="S248" s="23">
        <v>5</v>
      </c>
      <c r="T248" s="25">
        <f>INDEX('Merit Matrix'!$B$4:$F$8,
       MATCH($S248,'Merit Matrix'!$A$4:$A$8,0),
       MATCH(TRIM($R248),'Merit Matrix'!$B$3:$F$3,0))</f>
        <v>0.06</v>
      </c>
      <c r="U248" s="24">
        <f>Table13[[#This Row],[Salary increase %]]*Table13[[#This Row],[Monthly Gross Salary]]</f>
        <v>5739.36</v>
      </c>
      <c r="V248" s="23">
        <f>Table13[[#This Row],[Salary increase Amount]]+Table13[[#This Row],[Monthly Gross Salary]]</f>
        <v>101395.36</v>
      </c>
      <c r="W248" s="75">
        <v>0.25</v>
      </c>
      <c r="X248" s="6">
        <f>Table13[[#This Row],[New Gross Salary]]*Table13[[#This Row],[STI %]]</f>
        <v>25348.84</v>
      </c>
      <c r="Y248" s="96">
        <v>1.5</v>
      </c>
      <c r="Z248" s="6">
        <f>Table13[[#This Row],[Target STI]]*Table13[[#This Row],[Multiplier]]</f>
        <v>38023.26</v>
      </c>
      <c r="AA248" s="26">
        <v>0.32</v>
      </c>
      <c r="AB248" s="21" t="s">
        <v>18</v>
      </c>
      <c r="AC248" s="24">
        <f>(Table13[[#This Row],[New Gross Salary]]+Table13[[#This Row],[Final STI]])*Table13[[#This Row],[Tax %]]</f>
        <v>44613.958399999996</v>
      </c>
      <c r="AD248" s="24">
        <f>Table13[[#This Row],[New Gross Salary]]*5%</f>
        <v>5069.768</v>
      </c>
      <c r="AE248" s="21" cm="1">
        <f t="array" ref="AE248">_xlfn.XLOOKUP(AB248,{"A","B","C"},{500,800,1200})</f>
        <v>500</v>
      </c>
      <c r="AF248" s="24">
        <f t="shared" si="7"/>
        <v>50183.7264</v>
      </c>
      <c r="AG248" s="27">
        <f>Table13[[#This Row],[New Gross Salary]]+Table13[[#This Row],[Final STI]]-Table13[[#This Row],[Total Deductions
(Tax+Pension+HP)]]</f>
        <v>89234.893599999996</v>
      </c>
    </row>
    <row r="249" spans="1:33" x14ac:dyDescent="0.2">
      <c r="A249" s="20">
        <v>1248</v>
      </c>
      <c r="B249" s="21" t="s">
        <v>260</v>
      </c>
      <c r="C249" s="21" t="s">
        <v>8</v>
      </c>
      <c r="D249" s="21" t="s">
        <v>545</v>
      </c>
      <c r="E249" s="22">
        <v>45292</v>
      </c>
      <c r="F249" s="21" t="s">
        <v>519</v>
      </c>
      <c r="G249" s="21" t="s">
        <v>527</v>
      </c>
      <c r="H249" s="21" t="s">
        <v>520</v>
      </c>
      <c r="I249" s="5" t="s">
        <v>661</v>
      </c>
      <c r="J249" s="21" t="s">
        <v>535</v>
      </c>
      <c r="K249" s="21" t="s">
        <v>538</v>
      </c>
      <c r="L249" s="23">
        <v>44000</v>
      </c>
      <c r="M249" s="23" t="s">
        <v>673</v>
      </c>
      <c r="N249" s="23">
        <v>38000</v>
      </c>
      <c r="O249" s="23">
        <v>50000</v>
      </c>
      <c r="P249" s="23">
        <v>56000</v>
      </c>
      <c r="Q249" s="24">
        <f>Table13[[#This Row],[Monthly Gross Salary]]/Table13[[#This Row],[Mid]]</f>
        <v>0.88</v>
      </c>
      <c r="R249" s="23" t="str">
        <f t="shared" si="6"/>
        <v>Below Mid</v>
      </c>
      <c r="S249" s="23">
        <v>3</v>
      </c>
      <c r="T249" s="25">
        <f>INDEX('Merit Matrix'!$B$4:$F$8,
       MATCH($S249,'Merit Matrix'!$A$4:$A$8,0),
       MATCH(TRIM($R249),'Merit Matrix'!$B$3:$F$3,0))</f>
        <v>0.03</v>
      </c>
      <c r="U249" s="24">
        <f>Table13[[#This Row],[Salary increase %]]*Table13[[#This Row],[Monthly Gross Salary]]</f>
        <v>1320</v>
      </c>
      <c r="V249" s="23">
        <f>Table13[[#This Row],[Salary increase Amount]]+Table13[[#This Row],[Monthly Gross Salary]]</f>
        <v>45320</v>
      </c>
      <c r="W249" s="75">
        <v>0.15</v>
      </c>
      <c r="X249" s="6">
        <f>Table13[[#This Row],[New Gross Salary]]*Table13[[#This Row],[STI %]]</f>
        <v>6798</v>
      </c>
      <c r="Y249" s="96">
        <v>1</v>
      </c>
      <c r="Z249" s="6">
        <f>Table13[[#This Row],[Target STI]]*Table13[[#This Row],[Multiplier]]</f>
        <v>6798</v>
      </c>
      <c r="AA249" s="26">
        <v>0.27</v>
      </c>
      <c r="AB249" s="21" t="s">
        <v>18</v>
      </c>
      <c r="AC249" s="24">
        <f>(Table13[[#This Row],[New Gross Salary]]+Table13[[#This Row],[Final STI]])*Table13[[#This Row],[Tax %]]</f>
        <v>14071.86</v>
      </c>
      <c r="AD249" s="24">
        <f>Table13[[#This Row],[New Gross Salary]]*5%</f>
        <v>2266</v>
      </c>
      <c r="AE249" s="21" cm="1">
        <f t="array" ref="AE249">_xlfn.XLOOKUP(AB249,{"A","B","C"},{500,800,1200})</f>
        <v>500</v>
      </c>
      <c r="AF249" s="24">
        <f t="shared" si="7"/>
        <v>16837.86</v>
      </c>
      <c r="AG249" s="27">
        <f>Table13[[#This Row],[New Gross Salary]]+Table13[[#This Row],[Final STI]]-Table13[[#This Row],[Total Deductions
(Tax+Pension+HP)]]</f>
        <v>35280.14</v>
      </c>
    </row>
    <row r="250" spans="1:33" x14ac:dyDescent="0.2">
      <c r="A250" s="20">
        <v>1249</v>
      </c>
      <c r="B250" s="21" t="s">
        <v>261</v>
      </c>
      <c r="C250" s="21" t="s">
        <v>8</v>
      </c>
      <c r="D250" s="21" t="s">
        <v>546</v>
      </c>
      <c r="E250" s="22">
        <v>43101</v>
      </c>
      <c r="F250" s="21" t="s">
        <v>566</v>
      </c>
      <c r="G250" s="21" t="s">
        <v>527</v>
      </c>
      <c r="H250" s="21" t="s">
        <v>520</v>
      </c>
      <c r="I250" s="5" t="s">
        <v>661</v>
      </c>
      <c r="J250" s="21" t="s">
        <v>547</v>
      </c>
      <c r="K250" s="21" t="s">
        <v>541</v>
      </c>
      <c r="L250" s="23">
        <v>95656</v>
      </c>
      <c r="M250" s="23" t="s">
        <v>673</v>
      </c>
      <c r="N250" s="23">
        <v>66959</v>
      </c>
      <c r="O250" s="23">
        <v>95656</v>
      </c>
      <c r="P250" s="23">
        <v>124353</v>
      </c>
      <c r="Q250" s="24">
        <f>Table13[[#This Row],[Monthly Gross Salary]]/Table13[[#This Row],[Mid]]</f>
        <v>1</v>
      </c>
      <c r="R250" s="23" t="str">
        <f t="shared" si="6"/>
        <v>Around Mid</v>
      </c>
      <c r="S250" s="23">
        <v>5</v>
      </c>
      <c r="T250" s="25">
        <f>INDEX('Merit Matrix'!$B$4:$F$8,
       MATCH($S250,'Merit Matrix'!$A$4:$A$8,0),
       MATCH(TRIM($R250),'Merit Matrix'!$B$3:$F$3,0))</f>
        <v>0.06</v>
      </c>
      <c r="U250" s="24">
        <f>Table13[[#This Row],[Salary increase %]]*Table13[[#This Row],[Monthly Gross Salary]]</f>
        <v>5739.36</v>
      </c>
      <c r="V250" s="23">
        <f>Table13[[#This Row],[Salary increase Amount]]+Table13[[#This Row],[Monthly Gross Salary]]</f>
        <v>101395.36</v>
      </c>
      <c r="W250" s="75">
        <v>0.25</v>
      </c>
      <c r="X250" s="6">
        <f>Table13[[#This Row],[New Gross Salary]]*Table13[[#This Row],[STI %]]</f>
        <v>25348.84</v>
      </c>
      <c r="Y250" s="96">
        <v>1.5</v>
      </c>
      <c r="Z250" s="6">
        <f>Table13[[#This Row],[Target STI]]*Table13[[#This Row],[Multiplier]]</f>
        <v>38023.26</v>
      </c>
      <c r="AA250" s="26">
        <v>0.32</v>
      </c>
      <c r="AB250" s="21" t="s">
        <v>9</v>
      </c>
      <c r="AC250" s="24">
        <f>(Table13[[#This Row],[New Gross Salary]]+Table13[[#This Row],[Final STI]])*Table13[[#This Row],[Tax %]]</f>
        <v>44613.958399999996</v>
      </c>
      <c r="AD250" s="24">
        <f>Table13[[#This Row],[New Gross Salary]]*5%</f>
        <v>5069.768</v>
      </c>
      <c r="AE250" s="21" cm="1">
        <f t="array" ref="AE250">_xlfn.XLOOKUP(AB250,{"A","B","C"},{500,800,1200})</f>
        <v>800</v>
      </c>
      <c r="AF250" s="24">
        <f t="shared" si="7"/>
        <v>50483.7264</v>
      </c>
      <c r="AG250" s="27">
        <f>Table13[[#This Row],[New Gross Salary]]+Table13[[#This Row],[Final STI]]-Table13[[#This Row],[Total Deductions
(Tax+Pension+HP)]]</f>
        <v>88934.893599999996</v>
      </c>
    </row>
    <row r="251" spans="1:33" x14ac:dyDescent="0.2">
      <c r="A251" s="20">
        <v>1250</v>
      </c>
      <c r="B251" s="28" t="s">
        <v>262</v>
      </c>
      <c r="C251" s="28" t="s">
        <v>5</v>
      </c>
      <c r="D251" s="28" t="s">
        <v>551</v>
      </c>
      <c r="E251" s="22">
        <v>43101</v>
      </c>
      <c r="F251" s="21" t="s">
        <v>566</v>
      </c>
      <c r="G251" s="21" t="s">
        <v>527</v>
      </c>
      <c r="H251" s="21" t="s">
        <v>520</v>
      </c>
      <c r="I251" s="5" t="s">
        <v>661</v>
      </c>
      <c r="J251" s="21" t="s">
        <v>547</v>
      </c>
      <c r="K251" s="21" t="s">
        <v>541</v>
      </c>
      <c r="L251" s="23">
        <v>95656</v>
      </c>
      <c r="M251" s="23" t="s">
        <v>673</v>
      </c>
      <c r="N251" s="29">
        <v>66959</v>
      </c>
      <c r="O251" s="29">
        <v>95656</v>
      </c>
      <c r="P251" s="29">
        <v>124353</v>
      </c>
      <c r="Q251" s="24">
        <f>Table13[[#This Row],[Monthly Gross Salary]]/Table13[[#This Row],[Mid]]</f>
        <v>1</v>
      </c>
      <c r="R251" s="23" t="str">
        <f t="shared" si="6"/>
        <v>Around Mid</v>
      </c>
      <c r="S251" s="23">
        <v>5</v>
      </c>
      <c r="T251" s="25">
        <f>INDEX('Merit Matrix'!$B$4:$F$8,
       MATCH($S251,'Merit Matrix'!$A$4:$A$8,0),
       MATCH(TRIM($R251),'Merit Matrix'!$B$3:$F$3,0))</f>
        <v>0.06</v>
      </c>
      <c r="U251" s="30">
        <f>Table13[[#This Row],[Salary increase %]]*Table13[[#This Row],[Monthly Gross Salary]]</f>
        <v>5739.36</v>
      </c>
      <c r="V251" s="23">
        <f>Table13[[#This Row],[Salary increase Amount]]+Table13[[#This Row],[Monthly Gross Salary]]</f>
        <v>101395.36</v>
      </c>
      <c r="W251" s="75">
        <v>0.25</v>
      </c>
      <c r="X251" s="6">
        <f>Table13[[#This Row],[New Gross Salary]]*Table13[[#This Row],[STI %]]</f>
        <v>25348.84</v>
      </c>
      <c r="Y251" s="96">
        <v>1.5</v>
      </c>
      <c r="Z251" s="6">
        <f>Table13[[#This Row],[Target STI]]*Table13[[#This Row],[Multiplier]]</f>
        <v>38023.26</v>
      </c>
      <c r="AA251" s="31">
        <v>0.32</v>
      </c>
      <c r="AB251" s="28" t="s">
        <v>18</v>
      </c>
      <c r="AC251" s="30">
        <f>(Table13[[#This Row],[New Gross Salary]]+Table13[[#This Row],[Final STI]])*Table13[[#This Row],[Tax %]]</f>
        <v>44613.958399999996</v>
      </c>
      <c r="AD251" s="30">
        <f>Table13[[#This Row],[New Gross Salary]]*5%</f>
        <v>5069.768</v>
      </c>
      <c r="AE251" s="28" cm="1">
        <f t="array" ref="AE251">_xlfn.XLOOKUP(AB251,{"A","B","C"},{500,800,1200})</f>
        <v>500</v>
      </c>
      <c r="AF251" s="30">
        <f t="shared" si="7"/>
        <v>50183.7264</v>
      </c>
      <c r="AG251" s="32">
        <f>Table13[[#This Row],[New Gross Salary]]+Table13[[#This Row],[Final STI]]-Table13[[#This Row],[Total Deductions
(Tax+Pension+HP)]]</f>
        <v>89234.893599999996</v>
      </c>
    </row>
  </sheetData>
  <phoneticPr fontId="16"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FCF57-F3AF-B14E-9720-AC4D5F4C2468}">
  <dimension ref="A1:R41"/>
  <sheetViews>
    <sheetView zoomScaleNormal="100" workbookViewId="0">
      <selection activeCell="F29" sqref="F29"/>
    </sheetView>
  </sheetViews>
  <sheetFormatPr baseColWidth="10" defaultRowHeight="15" x14ac:dyDescent="0.2"/>
  <cols>
    <col min="1" max="1" width="12.5" bestFit="1" customWidth="1"/>
    <col min="2" max="2" width="9.33203125" bestFit="1" customWidth="1"/>
    <col min="3" max="3" width="12" style="62" bestFit="1" customWidth="1"/>
    <col min="4" max="4" width="12" bestFit="1" customWidth="1"/>
    <col min="5" max="5" width="15.6640625" bestFit="1" customWidth="1"/>
    <col min="6" max="6" width="15.6640625" customWidth="1"/>
    <col min="7" max="7" width="13.83203125" bestFit="1" customWidth="1"/>
    <col min="8" max="8" width="12.83203125" style="62" customWidth="1"/>
    <col min="9" max="9" width="9.5" bestFit="1" customWidth="1"/>
    <col min="10" max="10" width="6.6640625" bestFit="1" customWidth="1"/>
    <col min="11" max="11" width="8.33203125" bestFit="1" customWidth="1"/>
    <col min="12" max="12" width="17.83203125" bestFit="1" customWidth="1"/>
    <col min="13" max="13" width="10.5" bestFit="1" customWidth="1"/>
    <col min="14" max="14" width="9.5" bestFit="1" customWidth="1"/>
    <col min="15" max="15" width="6.6640625" bestFit="1" customWidth="1"/>
    <col min="16" max="16" width="8.33203125" bestFit="1" customWidth="1"/>
    <col min="17" max="17" width="21.83203125" bestFit="1" customWidth="1"/>
    <col min="18" max="18" width="35.83203125" bestFit="1" customWidth="1"/>
    <col min="19" max="19" width="32.6640625" bestFit="1" customWidth="1"/>
  </cols>
  <sheetData>
    <row r="1" spans="1:8" s="11" customFormat="1" ht="29" customHeight="1" x14ac:dyDescent="0.2">
      <c r="A1"/>
      <c r="B1"/>
      <c r="C1" s="61"/>
      <c r="H1" s="61"/>
    </row>
    <row r="2" spans="1:8" ht="23" customHeight="1" x14ac:dyDescent="0.2">
      <c r="A2" s="63" t="s">
        <v>521</v>
      </c>
      <c r="B2" s="11" t="s">
        <v>613</v>
      </c>
    </row>
    <row r="4" spans="1:8" s="66" customFormat="1" ht="32" x14ac:dyDescent="0.2">
      <c r="A4" s="65" t="s">
        <v>263</v>
      </c>
      <c r="B4" s="66" t="s">
        <v>265</v>
      </c>
      <c r="C4" s="66" t="s">
        <v>620</v>
      </c>
      <c r="D4" s="66" t="s">
        <v>617</v>
      </c>
      <c r="E4" s="66" t="s">
        <v>618</v>
      </c>
      <c r="F4" s="66" t="s">
        <v>619</v>
      </c>
      <c r="G4" s="64" t="s">
        <v>621</v>
      </c>
      <c r="H4"/>
    </row>
    <row r="5" spans="1:8" x14ac:dyDescent="0.2">
      <c r="A5" s="67" t="s">
        <v>11</v>
      </c>
      <c r="B5" s="11">
        <v>42</v>
      </c>
      <c r="C5" s="68">
        <v>53452.809523809527</v>
      </c>
      <c r="D5" s="68">
        <v>54695.355238095239</v>
      </c>
      <c r="E5" s="68">
        <v>2245018</v>
      </c>
      <c r="F5" s="68">
        <v>2297204.92</v>
      </c>
      <c r="G5" s="61">
        <v>2.3245657718557234E-2</v>
      </c>
      <c r="H5"/>
    </row>
    <row r="6" spans="1:8" x14ac:dyDescent="0.2">
      <c r="A6" s="69">
        <v>1</v>
      </c>
      <c r="B6" s="11">
        <v>1</v>
      </c>
      <c r="C6" s="68">
        <v>39911</v>
      </c>
      <c r="D6" s="68">
        <v>39911</v>
      </c>
      <c r="E6" s="68">
        <v>39911</v>
      </c>
      <c r="F6" s="68">
        <v>39911</v>
      </c>
      <c r="G6" s="61">
        <v>0</v>
      </c>
      <c r="H6"/>
    </row>
    <row r="7" spans="1:8" x14ac:dyDescent="0.2">
      <c r="A7" s="69">
        <v>2</v>
      </c>
      <c r="B7" s="11">
        <v>8</v>
      </c>
      <c r="C7" s="68">
        <v>43500</v>
      </c>
      <c r="D7" s="68">
        <v>44205</v>
      </c>
      <c r="E7" s="68">
        <v>348000</v>
      </c>
      <c r="F7" s="68">
        <v>353640</v>
      </c>
      <c r="G7" s="61">
        <v>1.6206896551724137E-2</v>
      </c>
      <c r="H7"/>
    </row>
    <row r="8" spans="1:8" x14ac:dyDescent="0.2">
      <c r="A8" s="69">
        <v>3</v>
      </c>
      <c r="B8" s="11">
        <v>24</v>
      </c>
      <c r="C8" s="68">
        <v>54158.583333333336</v>
      </c>
      <c r="D8" s="68">
        <v>55360.837083333339</v>
      </c>
      <c r="E8" s="68">
        <v>1299806</v>
      </c>
      <c r="F8" s="68">
        <v>1328660.0900000001</v>
      </c>
      <c r="G8" s="61">
        <v>2.2198766585167388E-2</v>
      </c>
      <c r="H8"/>
    </row>
    <row r="9" spans="1:8" x14ac:dyDescent="0.2">
      <c r="A9" s="69">
        <v>4</v>
      </c>
      <c r="B9" s="11">
        <v>6</v>
      </c>
      <c r="C9" s="68">
        <v>65525.833333333336</v>
      </c>
      <c r="D9" s="68">
        <v>66833.17833333333</v>
      </c>
      <c r="E9" s="68">
        <v>393155</v>
      </c>
      <c r="F9" s="68">
        <v>400999.07</v>
      </c>
      <c r="G9" s="61">
        <v>1.9951596698503153E-2</v>
      </c>
      <c r="H9"/>
    </row>
    <row r="10" spans="1:8" x14ac:dyDescent="0.2">
      <c r="A10" s="69">
        <v>5</v>
      </c>
      <c r="B10" s="11">
        <v>3</v>
      </c>
      <c r="C10" s="68">
        <v>54715.333333333336</v>
      </c>
      <c r="D10" s="68">
        <v>57998.253333333334</v>
      </c>
      <c r="E10" s="68">
        <v>164146</v>
      </c>
      <c r="F10" s="68">
        <v>173994.76</v>
      </c>
      <c r="G10" s="61">
        <v>6.0000000000000053E-2</v>
      </c>
      <c r="H10"/>
    </row>
    <row r="11" spans="1:8" x14ac:dyDescent="0.2">
      <c r="A11" s="67" t="s">
        <v>8</v>
      </c>
      <c r="B11" s="11">
        <v>35</v>
      </c>
      <c r="C11" s="68">
        <v>53253.314285714288</v>
      </c>
      <c r="D11" s="68">
        <v>54742.333999999995</v>
      </c>
      <c r="E11" s="68">
        <v>1863866</v>
      </c>
      <c r="F11" s="68">
        <v>1915981.6899999997</v>
      </c>
      <c r="G11" s="61">
        <v>2.7961071235807568E-2</v>
      </c>
      <c r="H11"/>
    </row>
    <row r="12" spans="1:8" x14ac:dyDescent="0.2">
      <c r="A12" s="69">
        <v>2</v>
      </c>
      <c r="B12" s="11">
        <v>4</v>
      </c>
      <c r="C12" s="68">
        <v>43500</v>
      </c>
      <c r="D12" s="68">
        <v>44205</v>
      </c>
      <c r="E12" s="68">
        <v>174000</v>
      </c>
      <c r="F12" s="68">
        <v>176820</v>
      </c>
      <c r="G12" s="61">
        <v>1.6206896551724137E-2</v>
      </c>
      <c r="H12"/>
    </row>
    <row r="13" spans="1:8" x14ac:dyDescent="0.2">
      <c r="A13" s="69">
        <v>3</v>
      </c>
      <c r="B13" s="11">
        <v>27</v>
      </c>
      <c r="C13" s="68">
        <v>54207.481481481482</v>
      </c>
      <c r="D13" s="68">
        <v>55547.846296296302</v>
      </c>
      <c r="E13" s="68">
        <v>1463602</v>
      </c>
      <c r="F13" s="68">
        <v>1499791.85</v>
      </c>
      <c r="G13" s="61">
        <v>2.4726565008793437E-2</v>
      </c>
      <c r="H13"/>
    </row>
    <row r="14" spans="1:8" x14ac:dyDescent="0.2">
      <c r="A14" s="69">
        <v>4</v>
      </c>
      <c r="B14" s="11">
        <v>1</v>
      </c>
      <c r="C14" s="68">
        <v>47000</v>
      </c>
      <c r="D14" s="68">
        <v>49350</v>
      </c>
      <c r="E14" s="68">
        <v>47000</v>
      </c>
      <c r="F14" s="68">
        <v>49350</v>
      </c>
      <c r="G14" s="61">
        <v>0.05</v>
      </c>
      <c r="H14"/>
    </row>
    <row r="15" spans="1:8" x14ac:dyDescent="0.2">
      <c r="A15" s="69">
        <v>5</v>
      </c>
      <c r="B15" s="11">
        <v>3</v>
      </c>
      <c r="C15" s="68">
        <v>59754.666666666664</v>
      </c>
      <c r="D15" s="68">
        <v>63339.946666666663</v>
      </c>
      <c r="E15" s="68">
        <v>179264</v>
      </c>
      <c r="F15" s="68">
        <v>190019.84</v>
      </c>
      <c r="G15" s="61">
        <v>5.9999999999999984E-2</v>
      </c>
      <c r="H15"/>
    </row>
    <row r="16" spans="1:8" x14ac:dyDescent="0.2">
      <c r="A16" s="67" t="s">
        <v>5</v>
      </c>
      <c r="B16" s="11">
        <v>51</v>
      </c>
      <c r="C16" s="68">
        <v>65219.176470588238</v>
      </c>
      <c r="D16" s="68">
        <v>66478.890196078413</v>
      </c>
      <c r="E16" s="68">
        <v>3326178</v>
      </c>
      <c r="F16" s="68">
        <v>3390423.399999999</v>
      </c>
      <c r="G16" s="61">
        <v>1.9315081754493889E-2</v>
      </c>
      <c r="H16"/>
    </row>
    <row r="17" spans="1:8" x14ac:dyDescent="0.2">
      <c r="A17" s="69">
        <v>2</v>
      </c>
      <c r="B17" s="11">
        <v>5</v>
      </c>
      <c r="C17" s="68">
        <v>88313</v>
      </c>
      <c r="D17" s="68">
        <v>88313</v>
      </c>
      <c r="E17" s="68">
        <v>441565</v>
      </c>
      <c r="F17" s="68">
        <v>441565</v>
      </c>
      <c r="G17" s="61">
        <v>0</v>
      </c>
      <c r="H17"/>
    </row>
    <row r="18" spans="1:8" x14ac:dyDescent="0.2">
      <c r="A18" s="69">
        <v>3</v>
      </c>
      <c r="B18" s="11">
        <v>30</v>
      </c>
      <c r="C18" s="68">
        <v>64692.73333333333</v>
      </c>
      <c r="D18" s="68">
        <v>65838.416333333342</v>
      </c>
      <c r="E18" s="68">
        <v>1940782</v>
      </c>
      <c r="F18" s="68">
        <v>1975152.4900000002</v>
      </c>
      <c r="G18" s="61">
        <v>1.7709608807171658E-2</v>
      </c>
      <c r="H18"/>
    </row>
    <row r="19" spans="1:8" x14ac:dyDescent="0.2">
      <c r="A19" s="69">
        <v>4</v>
      </c>
      <c r="B19" s="11">
        <v>8</v>
      </c>
      <c r="C19" s="68">
        <v>74641</v>
      </c>
      <c r="D19" s="68">
        <v>75974.646249999991</v>
      </c>
      <c r="E19" s="68">
        <v>597128</v>
      </c>
      <c r="F19" s="68">
        <v>607797.16999999993</v>
      </c>
      <c r="G19" s="61">
        <v>1.7867475650111743E-2</v>
      </c>
      <c r="H19"/>
    </row>
    <row r="20" spans="1:8" x14ac:dyDescent="0.2">
      <c r="A20" s="69">
        <v>5</v>
      </c>
      <c r="B20" s="11">
        <v>8</v>
      </c>
      <c r="C20" s="68">
        <v>43337.875</v>
      </c>
      <c r="D20" s="68">
        <v>45738.592499999999</v>
      </c>
      <c r="E20" s="68">
        <v>346703</v>
      </c>
      <c r="F20" s="68">
        <v>365908.74</v>
      </c>
      <c r="G20" s="61">
        <v>5.5395367216320573E-2</v>
      </c>
      <c r="H20"/>
    </row>
    <row r="21" spans="1:8" x14ac:dyDescent="0.2">
      <c r="A21" s="67" t="s">
        <v>14</v>
      </c>
      <c r="B21" s="11">
        <v>36</v>
      </c>
      <c r="C21" s="68">
        <v>56835.027777777781</v>
      </c>
      <c r="D21" s="68">
        <v>58209.101249999985</v>
      </c>
      <c r="E21" s="68">
        <v>2046061</v>
      </c>
      <c r="F21" s="68">
        <v>2095527.6449999996</v>
      </c>
      <c r="G21" s="61">
        <v>2.4176525040064571E-2</v>
      </c>
      <c r="H21"/>
    </row>
    <row r="22" spans="1:8" x14ac:dyDescent="0.2">
      <c r="A22" s="69">
        <v>1</v>
      </c>
      <c r="B22" s="11">
        <v>3</v>
      </c>
      <c r="C22" s="68">
        <v>37429.333333333336</v>
      </c>
      <c r="D22" s="68">
        <v>37429.333333333336</v>
      </c>
      <c r="E22" s="68">
        <v>112288</v>
      </c>
      <c r="F22" s="68">
        <v>112288</v>
      </c>
      <c r="G22" s="61">
        <v>0</v>
      </c>
      <c r="H22"/>
    </row>
    <row r="23" spans="1:8" x14ac:dyDescent="0.2">
      <c r="A23" s="69">
        <v>2</v>
      </c>
      <c r="B23" s="11">
        <v>2</v>
      </c>
      <c r="C23" s="68">
        <v>88313</v>
      </c>
      <c r="D23" s="68">
        <v>88313</v>
      </c>
      <c r="E23" s="68">
        <v>176626</v>
      </c>
      <c r="F23" s="68">
        <v>176626</v>
      </c>
      <c r="G23" s="61">
        <v>0</v>
      </c>
      <c r="H23"/>
    </row>
    <row r="24" spans="1:8" x14ac:dyDescent="0.2">
      <c r="A24" s="69">
        <v>3</v>
      </c>
      <c r="B24" s="11">
        <v>15</v>
      </c>
      <c r="C24" s="68">
        <v>54832.73333333333</v>
      </c>
      <c r="D24" s="68">
        <v>55984.270666666671</v>
      </c>
      <c r="E24" s="68">
        <v>822491</v>
      </c>
      <c r="F24" s="68">
        <v>839764.06</v>
      </c>
      <c r="G24" s="61">
        <v>2.100091064826248E-2</v>
      </c>
      <c r="H24"/>
    </row>
    <row r="25" spans="1:8" x14ac:dyDescent="0.2">
      <c r="A25" s="69">
        <v>4</v>
      </c>
      <c r="B25" s="11">
        <v>6</v>
      </c>
      <c r="C25" s="68">
        <v>88465.833333333328</v>
      </c>
      <c r="D25" s="68">
        <v>89792.820833333317</v>
      </c>
      <c r="E25" s="68">
        <v>530795</v>
      </c>
      <c r="F25" s="68">
        <v>538756.92499999993</v>
      </c>
      <c r="G25" s="61">
        <v>1.4999999999999868E-2</v>
      </c>
      <c r="H25"/>
    </row>
    <row r="26" spans="1:8" x14ac:dyDescent="0.2">
      <c r="A26" s="69">
        <v>5</v>
      </c>
      <c r="B26" s="11">
        <v>10</v>
      </c>
      <c r="C26" s="68">
        <v>40386.1</v>
      </c>
      <c r="D26" s="68">
        <v>42809.266000000003</v>
      </c>
      <c r="E26" s="68">
        <v>403861</v>
      </c>
      <c r="F26" s="68">
        <v>428092.66000000003</v>
      </c>
      <c r="G26" s="61">
        <v>6.0000000000000081E-2</v>
      </c>
      <c r="H26"/>
    </row>
    <row r="27" spans="1:8" x14ac:dyDescent="0.2">
      <c r="A27" s="67" t="s">
        <v>42</v>
      </c>
      <c r="B27" s="11">
        <v>46</v>
      </c>
      <c r="C27" s="68">
        <v>51220.84782608696</v>
      </c>
      <c r="D27" s="68">
        <v>52628.506521739117</v>
      </c>
      <c r="E27" s="68">
        <v>2356159</v>
      </c>
      <c r="F27" s="68">
        <v>2420911.2999999993</v>
      </c>
      <c r="G27" s="61">
        <v>2.7482143607455756E-2</v>
      </c>
      <c r="H27"/>
    </row>
    <row r="28" spans="1:8" x14ac:dyDescent="0.2">
      <c r="A28" s="69">
        <v>2</v>
      </c>
      <c r="B28" s="11">
        <v>7</v>
      </c>
      <c r="C28" s="68">
        <v>74935.28571428571</v>
      </c>
      <c r="D28" s="68">
        <v>75684.638571428572</v>
      </c>
      <c r="E28" s="68">
        <v>524547</v>
      </c>
      <c r="F28" s="68">
        <v>529792.47</v>
      </c>
      <c r="G28" s="61">
        <v>9.9999999999999464E-3</v>
      </c>
      <c r="H28"/>
    </row>
    <row r="29" spans="1:8" x14ac:dyDescent="0.2">
      <c r="A29" s="69">
        <v>3</v>
      </c>
      <c r="B29" s="11">
        <v>22</v>
      </c>
      <c r="C29" s="68">
        <v>46143.13636363636</v>
      </c>
      <c r="D29" s="68">
        <v>47239.112272727274</v>
      </c>
      <c r="E29" s="68">
        <v>1015149</v>
      </c>
      <c r="F29" s="68">
        <v>1039260.47</v>
      </c>
      <c r="G29" s="61">
        <v>2.3751656160819715E-2</v>
      </c>
      <c r="H29"/>
    </row>
    <row r="30" spans="1:8" x14ac:dyDescent="0.2">
      <c r="A30" s="69">
        <v>4</v>
      </c>
      <c r="B30" s="11">
        <v>16</v>
      </c>
      <c r="C30" s="68">
        <v>45050.4375</v>
      </c>
      <c r="D30" s="68">
        <v>46903.937500000007</v>
      </c>
      <c r="E30" s="68">
        <v>720807</v>
      </c>
      <c r="F30" s="68">
        <v>750463.00000000012</v>
      </c>
      <c r="G30" s="61">
        <v>4.1142774695584416E-2</v>
      </c>
      <c r="H30"/>
    </row>
    <row r="31" spans="1:8" x14ac:dyDescent="0.2">
      <c r="A31" s="69">
        <v>5</v>
      </c>
      <c r="B31" s="11">
        <v>1</v>
      </c>
      <c r="C31" s="68">
        <v>95656</v>
      </c>
      <c r="D31" s="68">
        <v>101395.36</v>
      </c>
      <c r="E31" s="68">
        <v>95656</v>
      </c>
      <c r="F31" s="68">
        <v>101395.36</v>
      </c>
      <c r="G31" s="61">
        <v>6.0000000000000005E-2</v>
      </c>
      <c r="H31"/>
    </row>
    <row r="32" spans="1:8" x14ac:dyDescent="0.2">
      <c r="A32" s="67" t="s">
        <v>17</v>
      </c>
      <c r="B32" s="11">
        <v>40</v>
      </c>
      <c r="C32" s="68">
        <v>50440.425000000003</v>
      </c>
      <c r="D32" s="68">
        <v>52262.5095</v>
      </c>
      <c r="E32" s="68">
        <v>2017617</v>
      </c>
      <c r="F32" s="68">
        <v>2090500.38</v>
      </c>
      <c r="G32" s="61">
        <v>3.6123496183864373E-2</v>
      </c>
      <c r="H32"/>
    </row>
    <row r="33" spans="1:18" x14ac:dyDescent="0.2">
      <c r="A33" s="69">
        <v>1</v>
      </c>
      <c r="B33" s="11">
        <v>2</v>
      </c>
      <c r="C33" s="68">
        <v>36188.5</v>
      </c>
      <c r="D33" s="68">
        <v>36188.5</v>
      </c>
      <c r="E33" s="68">
        <v>72377</v>
      </c>
      <c r="F33" s="68">
        <v>72377</v>
      </c>
      <c r="G33" s="61">
        <v>0</v>
      </c>
      <c r="H33"/>
    </row>
    <row r="34" spans="1:18" x14ac:dyDescent="0.2">
      <c r="A34" s="69">
        <v>2</v>
      </c>
      <c r="B34" s="11">
        <v>1</v>
      </c>
      <c r="C34" s="68">
        <v>44000</v>
      </c>
      <c r="D34" s="68">
        <v>44660</v>
      </c>
      <c r="E34" s="68">
        <v>44000</v>
      </c>
      <c r="F34" s="68">
        <v>44660</v>
      </c>
      <c r="G34" s="61">
        <v>1.4999999999999999E-2</v>
      </c>
      <c r="H34"/>
    </row>
    <row r="35" spans="1:18" x14ac:dyDescent="0.2">
      <c r="A35" s="69">
        <v>3</v>
      </c>
      <c r="B35" s="11">
        <v>19</v>
      </c>
      <c r="C35" s="68">
        <v>40812.368421052633</v>
      </c>
      <c r="D35" s="68">
        <v>41965.703157894743</v>
      </c>
      <c r="E35" s="68">
        <v>775435</v>
      </c>
      <c r="F35" s="68">
        <v>797348.3600000001</v>
      </c>
      <c r="G35" s="61">
        <v>2.8259441474785253E-2</v>
      </c>
      <c r="H35"/>
    </row>
    <row r="36" spans="1:18" x14ac:dyDescent="0.2">
      <c r="A36" s="69">
        <v>4</v>
      </c>
      <c r="B36" s="11">
        <v>13</v>
      </c>
      <c r="C36" s="68">
        <v>68269.461538461532</v>
      </c>
      <c r="D36" s="68">
        <v>71101.009230769239</v>
      </c>
      <c r="E36" s="68">
        <v>887503</v>
      </c>
      <c r="F36" s="68">
        <v>924313.12000000011</v>
      </c>
      <c r="G36" s="61">
        <v>4.1476051348558945E-2</v>
      </c>
      <c r="H36"/>
    </row>
    <row r="37" spans="1:18" x14ac:dyDescent="0.2">
      <c r="A37" s="69">
        <v>5</v>
      </c>
      <c r="B37" s="11">
        <v>5</v>
      </c>
      <c r="C37" s="68">
        <v>47660.4</v>
      </c>
      <c r="D37" s="68">
        <v>50360.37999999999</v>
      </c>
      <c r="E37" s="68">
        <v>238302</v>
      </c>
      <c r="F37" s="68">
        <v>251801.89999999997</v>
      </c>
      <c r="G37" s="61">
        <v>5.6650384805834467E-2</v>
      </c>
      <c r="H37"/>
    </row>
    <row r="38" spans="1:18" x14ac:dyDescent="0.2">
      <c r="A38" s="67" t="s">
        <v>264</v>
      </c>
      <c r="B38" s="11">
        <v>250</v>
      </c>
      <c r="C38" s="68">
        <v>55419.595999999998</v>
      </c>
      <c r="D38" s="68">
        <v>56842.197339999984</v>
      </c>
      <c r="E38" s="68">
        <v>13854899</v>
      </c>
      <c r="F38" s="68">
        <v>14210549.334999995</v>
      </c>
      <c r="G38" s="61">
        <v>2.5669644722779668E-2</v>
      </c>
      <c r="H38"/>
    </row>
    <row r="41" spans="1:18" ht="215" customHeight="1" x14ac:dyDescent="0.2">
      <c r="A41" s="103" t="s">
        <v>624</v>
      </c>
      <c r="B41" s="103"/>
      <c r="C41" s="103"/>
      <c r="D41" s="103"/>
      <c r="E41" s="103"/>
      <c r="F41" s="103"/>
      <c r="G41" s="103"/>
      <c r="H41" s="103"/>
      <c r="I41" s="103"/>
      <c r="J41" s="103"/>
      <c r="K41" s="103"/>
      <c r="L41" s="103"/>
      <c r="M41" s="103"/>
      <c r="N41" s="103"/>
      <c r="O41" s="103"/>
      <c r="P41" s="103"/>
      <c r="Q41" s="103"/>
      <c r="R41" s="103"/>
    </row>
  </sheetData>
  <mergeCells count="1">
    <mergeCell ref="A41:R41"/>
  </mergeCells>
  <pageMargins left="0.7" right="0.7" top="0.75" bottom="0.75" header="0.3" footer="0.3"/>
  <pageSetup paperSize="9" orientation="portrait" horizontalDpi="0" verticalDpi="0"/>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B5B21-187D-664D-A30F-2F25113535AA}">
  <dimension ref="A1:L29"/>
  <sheetViews>
    <sheetView workbookViewId="0">
      <selection activeCell="O19" sqref="O19"/>
    </sheetView>
  </sheetViews>
  <sheetFormatPr baseColWidth="10" defaultRowHeight="15" x14ac:dyDescent="0.2"/>
  <cols>
    <col min="1" max="1" width="19.83203125" bestFit="1" customWidth="1"/>
    <col min="2" max="2" width="13.5" customWidth="1"/>
    <col min="3" max="3" width="11" customWidth="1"/>
    <col min="4" max="4" width="11.6640625" customWidth="1"/>
    <col min="5" max="5" width="18.33203125" bestFit="1" customWidth="1"/>
    <col min="6" max="6" width="19.83203125" customWidth="1"/>
    <col min="7" max="7" width="19.5" bestFit="1" customWidth="1"/>
    <col min="8" max="8" width="14.5" customWidth="1"/>
    <col min="9" max="9" width="18.1640625" customWidth="1"/>
    <col min="12" max="12" width="10.83203125" customWidth="1"/>
  </cols>
  <sheetData>
    <row r="1" spans="1:12" ht="31" customHeight="1" x14ac:dyDescent="0.2">
      <c r="A1" s="104" t="s">
        <v>616</v>
      </c>
      <c r="B1" s="104"/>
      <c r="C1" s="104"/>
      <c r="D1" s="104"/>
      <c r="E1" s="104"/>
      <c r="F1" s="104"/>
      <c r="G1" s="104"/>
      <c r="H1" s="104"/>
      <c r="I1" s="104"/>
    </row>
    <row r="2" spans="1:12" ht="38" customHeight="1" x14ac:dyDescent="0.2">
      <c r="A2" s="42" t="s">
        <v>579</v>
      </c>
      <c r="B2" s="41" t="s">
        <v>2</v>
      </c>
      <c r="C2" s="41" t="s">
        <v>578</v>
      </c>
      <c r="D2" s="41" t="s">
        <v>562</v>
      </c>
      <c r="E2" s="41" t="s">
        <v>580</v>
      </c>
      <c r="F2" s="41" t="s">
        <v>581</v>
      </c>
      <c r="G2" s="41" t="s">
        <v>582</v>
      </c>
      <c r="H2" s="41" t="s">
        <v>583</v>
      </c>
      <c r="I2" s="43" t="s">
        <v>584</v>
      </c>
      <c r="L2" s="10"/>
    </row>
    <row r="3" spans="1:12" ht="20" customHeight="1" x14ac:dyDescent="0.2">
      <c r="A3" s="36" t="s">
        <v>548</v>
      </c>
      <c r="B3" s="5" t="s">
        <v>5</v>
      </c>
      <c r="C3" s="5" t="s">
        <v>533</v>
      </c>
      <c r="D3" s="5" t="s">
        <v>536</v>
      </c>
      <c r="E3" s="5" t="s">
        <v>585</v>
      </c>
      <c r="F3" s="5" t="s">
        <v>586</v>
      </c>
      <c r="G3" s="5" t="s">
        <v>587</v>
      </c>
      <c r="H3" s="5" t="s">
        <v>588</v>
      </c>
      <c r="I3" s="37" t="s">
        <v>589</v>
      </c>
    </row>
    <row r="4" spans="1:12" ht="20" customHeight="1" x14ac:dyDescent="0.2">
      <c r="A4" s="36" t="s">
        <v>528</v>
      </c>
      <c r="B4" s="5" t="s">
        <v>11</v>
      </c>
      <c r="C4" s="5" t="s">
        <v>533</v>
      </c>
      <c r="D4" s="5" t="s">
        <v>536</v>
      </c>
      <c r="E4" s="5" t="s">
        <v>585</v>
      </c>
      <c r="F4" s="5" t="s">
        <v>586</v>
      </c>
      <c r="G4" s="5" t="s">
        <v>11</v>
      </c>
      <c r="H4" s="5" t="s">
        <v>588</v>
      </c>
      <c r="I4" s="37" t="s">
        <v>589</v>
      </c>
    </row>
    <row r="5" spans="1:12" ht="20" customHeight="1" x14ac:dyDescent="0.2">
      <c r="A5" s="36" t="s">
        <v>552</v>
      </c>
      <c r="B5" s="5" t="s">
        <v>14</v>
      </c>
      <c r="C5" s="5" t="s">
        <v>533</v>
      </c>
      <c r="D5" s="5" t="s">
        <v>536</v>
      </c>
      <c r="E5" s="5" t="s">
        <v>585</v>
      </c>
      <c r="F5" s="5" t="s">
        <v>586</v>
      </c>
      <c r="G5" s="5" t="s">
        <v>14</v>
      </c>
      <c r="H5" s="5" t="s">
        <v>588</v>
      </c>
      <c r="I5" s="37" t="s">
        <v>589</v>
      </c>
    </row>
    <row r="6" spans="1:12" ht="20" customHeight="1" x14ac:dyDescent="0.2">
      <c r="A6" s="36" t="s">
        <v>558</v>
      </c>
      <c r="B6" s="5" t="s">
        <v>17</v>
      </c>
      <c r="C6" s="5" t="s">
        <v>533</v>
      </c>
      <c r="D6" s="5" t="s">
        <v>536</v>
      </c>
      <c r="E6" s="5" t="s">
        <v>585</v>
      </c>
      <c r="F6" s="5" t="s">
        <v>586</v>
      </c>
      <c r="G6" s="5" t="s">
        <v>17</v>
      </c>
      <c r="H6" s="5" t="s">
        <v>588</v>
      </c>
      <c r="I6" s="37" t="s">
        <v>589</v>
      </c>
    </row>
    <row r="7" spans="1:12" ht="20" customHeight="1" x14ac:dyDescent="0.2">
      <c r="A7" s="36" t="s">
        <v>555</v>
      </c>
      <c r="B7" s="5" t="s">
        <v>42</v>
      </c>
      <c r="C7" s="5" t="s">
        <v>533</v>
      </c>
      <c r="D7" s="5" t="s">
        <v>536</v>
      </c>
      <c r="E7" s="5" t="s">
        <v>585</v>
      </c>
      <c r="F7" s="5" t="s">
        <v>586</v>
      </c>
      <c r="G7" s="5" t="s">
        <v>42</v>
      </c>
      <c r="H7" s="5" t="s">
        <v>588</v>
      </c>
      <c r="I7" s="37" t="s">
        <v>589</v>
      </c>
    </row>
    <row r="8" spans="1:12" ht="20" customHeight="1" x14ac:dyDescent="0.2">
      <c r="A8" s="36" t="s">
        <v>542</v>
      </c>
      <c r="B8" s="5" t="s">
        <v>8</v>
      </c>
      <c r="C8" s="5" t="s">
        <v>533</v>
      </c>
      <c r="D8" s="5" t="s">
        <v>537</v>
      </c>
      <c r="E8" s="5" t="s">
        <v>590</v>
      </c>
      <c r="F8" s="5" t="s">
        <v>591</v>
      </c>
      <c r="G8" s="5" t="s">
        <v>592</v>
      </c>
      <c r="H8" s="5" t="s">
        <v>588</v>
      </c>
      <c r="I8" s="37" t="s">
        <v>589</v>
      </c>
    </row>
    <row r="9" spans="1:12" ht="20" customHeight="1" x14ac:dyDescent="0.2">
      <c r="A9" s="36" t="s">
        <v>531</v>
      </c>
      <c r="B9" s="5" t="s">
        <v>11</v>
      </c>
      <c r="C9" s="5" t="s">
        <v>533</v>
      </c>
      <c r="D9" s="5" t="s">
        <v>537</v>
      </c>
      <c r="E9" s="5" t="s">
        <v>593</v>
      </c>
      <c r="F9" s="5" t="s">
        <v>591</v>
      </c>
      <c r="G9" s="5" t="s">
        <v>11</v>
      </c>
      <c r="H9" s="5" t="s">
        <v>588</v>
      </c>
      <c r="I9" s="37" t="s">
        <v>589</v>
      </c>
    </row>
    <row r="10" spans="1:12" ht="20" customHeight="1" x14ac:dyDescent="0.2">
      <c r="A10" s="36" t="s">
        <v>549</v>
      </c>
      <c r="B10" s="5" t="s">
        <v>5</v>
      </c>
      <c r="C10" s="5" t="s">
        <v>535</v>
      </c>
      <c r="D10" s="5" t="s">
        <v>538</v>
      </c>
      <c r="E10" s="5" t="s">
        <v>594</v>
      </c>
      <c r="F10" s="5" t="s">
        <v>595</v>
      </c>
      <c r="G10" s="5" t="s">
        <v>587</v>
      </c>
      <c r="H10" s="5" t="s">
        <v>588</v>
      </c>
      <c r="I10" s="37" t="s">
        <v>589</v>
      </c>
    </row>
    <row r="11" spans="1:12" ht="20" customHeight="1" x14ac:dyDescent="0.2">
      <c r="A11" s="36" t="s">
        <v>534</v>
      </c>
      <c r="B11" s="5" t="s">
        <v>11</v>
      </c>
      <c r="C11" s="5" t="s">
        <v>535</v>
      </c>
      <c r="D11" s="5" t="s">
        <v>538</v>
      </c>
      <c r="E11" s="5" t="s">
        <v>594</v>
      </c>
      <c r="F11" s="5" t="s">
        <v>595</v>
      </c>
      <c r="G11" s="5" t="s">
        <v>11</v>
      </c>
      <c r="H11" s="5" t="s">
        <v>588</v>
      </c>
      <c r="I11" s="37" t="s">
        <v>589</v>
      </c>
    </row>
    <row r="12" spans="1:12" ht="20" customHeight="1" x14ac:dyDescent="0.2">
      <c r="A12" s="36" t="s">
        <v>545</v>
      </c>
      <c r="B12" s="5" t="s">
        <v>8</v>
      </c>
      <c r="C12" s="5" t="s">
        <v>535</v>
      </c>
      <c r="D12" s="5" t="s">
        <v>538</v>
      </c>
      <c r="E12" s="5" t="s">
        <v>594</v>
      </c>
      <c r="F12" s="5" t="s">
        <v>595</v>
      </c>
      <c r="G12" s="5" t="s">
        <v>592</v>
      </c>
      <c r="H12" s="5" t="s">
        <v>588</v>
      </c>
      <c r="I12" s="37" t="s">
        <v>589</v>
      </c>
    </row>
    <row r="13" spans="1:12" ht="20" customHeight="1" x14ac:dyDescent="0.2">
      <c r="A13" s="36" t="s">
        <v>560</v>
      </c>
      <c r="B13" s="5" t="s">
        <v>17</v>
      </c>
      <c r="C13" s="5" t="s">
        <v>535</v>
      </c>
      <c r="D13" s="5" t="s">
        <v>538</v>
      </c>
      <c r="E13" s="5" t="s">
        <v>594</v>
      </c>
      <c r="F13" s="5" t="s">
        <v>595</v>
      </c>
      <c r="G13" s="5" t="s">
        <v>17</v>
      </c>
      <c r="H13" s="5" t="s">
        <v>588</v>
      </c>
      <c r="I13" s="37" t="s">
        <v>589</v>
      </c>
    </row>
    <row r="14" spans="1:12" ht="20" customHeight="1" x14ac:dyDescent="0.2">
      <c r="A14" s="36" t="s">
        <v>544</v>
      </c>
      <c r="B14" s="5" t="s">
        <v>8</v>
      </c>
      <c r="C14" s="5" t="s">
        <v>535</v>
      </c>
      <c r="D14" s="5" t="s">
        <v>538</v>
      </c>
      <c r="E14" s="5" t="s">
        <v>596</v>
      </c>
      <c r="F14" s="5" t="s">
        <v>595</v>
      </c>
      <c r="G14" s="5" t="s">
        <v>592</v>
      </c>
      <c r="H14" s="5" t="s">
        <v>588</v>
      </c>
      <c r="I14" s="37" t="s">
        <v>597</v>
      </c>
    </row>
    <row r="15" spans="1:12" ht="20" customHeight="1" x14ac:dyDescent="0.2">
      <c r="A15" s="36" t="s">
        <v>529</v>
      </c>
      <c r="B15" s="5" t="s">
        <v>11</v>
      </c>
      <c r="C15" s="5" t="s">
        <v>532</v>
      </c>
      <c r="D15" s="5" t="s">
        <v>539</v>
      </c>
      <c r="E15" s="5" t="s">
        <v>598</v>
      </c>
      <c r="F15" s="5" t="s">
        <v>599</v>
      </c>
      <c r="G15" s="5" t="s">
        <v>11</v>
      </c>
      <c r="H15" s="5" t="s">
        <v>600</v>
      </c>
      <c r="I15" s="37" t="s">
        <v>589</v>
      </c>
    </row>
    <row r="16" spans="1:12" ht="20" customHeight="1" x14ac:dyDescent="0.2">
      <c r="A16" s="36" t="s">
        <v>559</v>
      </c>
      <c r="B16" s="5" t="s">
        <v>17</v>
      </c>
      <c r="C16" s="5" t="s">
        <v>532</v>
      </c>
      <c r="D16" s="5" t="s">
        <v>539</v>
      </c>
      <c r="E16" s="5" t="s">
        <v>598</v>
      </c>
      <c r="F16" s="5" t="s">
        <v>599</v>
      </c>
      <c r="G16" s="5" t="s">
        <v>17</v>
      </c>
      <c r="H16" s="5" t="s">
        <v>600</v>
      </c>
      <c r="I16" s="37" t="s">
        <v>589</v>
      </c>
    </row>
    <row r="17" spans="1:9" ht="20" customHeight="1" x14ac:dyDescent="0.2">
      <c r="A17" s="36" t="s">
        <v>556</v>
      </c>
      <c r="B17" s="5" t="s">
        <v>42</v>
      </c>
      <c r="C17" s="5" t="s">
        <v>532</v>
      </c>
      <c r="D17" s="5" t="s">
        <v>539</v>
      </c>
      <c r="E17" s="5" t="s">
        <v>598</v>
      </c>
      <c r="F17" s="5" t="s">
        <v>599</v>
      </c>
      <c r="G17" s="5" t="s">
        <v>42</v>
      </c>
      <c r="H17" s="5" t="s">
        <v>600</v>
      </c>
      <c r="I17" s="37" t="s">
        <v>589</v>
      </c>
    </row>
    <row r="18" spans="1:9" ht="20" customHeight="1" x14ac:dyDescent="0.2">
      <c r="A18" s="36" t="s">
        <v>543</v>
      </c>
      <c r="B18" s="5" t="s">
        <v>8</v>
      </c>
      <c r="C18" s="5" t="s">
        <v>532</v>
      </c>
      <c r="D18" s="5" t="s">
        <v>540</v>
      </c>
      <c r="E18" s="5" t="s">
        <v>601</v>
      </c>
      <c r="F18" s="5" t="s">
        <v>602</v>
      </c>
      <c r="G18" s="5" t="s">
        <v>592</v>
      </c>
      <c r="H18" s="5" t="s">
        <v>600</v>
      </c>
      <c r="I18" s="37" t="s">
        <v>589</v>
      </c>
    </row>
    <row r="19" spans="1:9" ht="20" customHeight="1" x14ac:dyDescent="0.2">
      <c r="A19" s="36" t="s">
        <v>550</v>
      </c>
      <c r="B19" s="5" t="s">
        <v>5</v>
      </c>
      <c r="C19" s="5" t="s">
        <v>532</v>
      </c>
      <c r="D19" s="5" t="s">
        <v>540</v>
      </c>
      <c r="E19" s="5" t="s">
        <v>601</v>
      </c>
      <c r="F19" s="5" t="s">
        <v>602</v>
      </c>
      <c r="G19" s="5" t="s">
        <v>587</v>
      </c>
      <c r="H19" s="5" t="s">
        <v>600</v>
      </c>
      <c r="I19" s="37" t="s">
        <v>589</v>
      </c>
    </row>
    <row r="20" spans="1:9" ht="20" customHeight="1" x14ac:dyDescent="0.2">
      <c r="A20" s="36" t="s">
        <v>553</v>
      </c>
      <c r="B20" s="5" t="s">
        <v>14</v>
      </c>
      <c r="C20" s="5" t="s">
        <v>532</v>
      </c>
      <c r="D20" s="5" t="s">
        <v>540</v>
      </c>
      <c r="E20" s="5" t="s">
        <v>601</v>
      </c>
      <c r="F20" s="5" t="s">
        <v>602</v>
      </c>
      <c r="G20" s="5" t="s">
        <v>14</v>
      </c>
      <c r="H20" s="5" t="s">
        <v>600</v>
      </c>
      <c r="I20" s="37" t="s">
        <v>589</v>
      </c>
    </row>
    <row r="21" spans="1:9" ht="20" customHeight="1" x14ac:dyDescent="0.2">
      <c r="A21" s="36" t="s">
        <v>561</v>
      </c>
      <c r="B21" s="5" t="s">
        <v>17</v>
      </c>
      <c r="C21" s="5" t="s">
        <v>547</v>
      </c>
      <c r="D21" s="5" t="s">
        <v>541</v>
      </c>
      <c r="E21" s="5" t="s">
        <v>603</v>
      </c>
      <c r="F21" s="5" t="s">
        <v>604</v>
      </c>
      <c r="G21" s="5" t="s">
        <v>17</v>
      </c>
      <c r="H21" s="5" t="s">
        <v>600</v>
      </c>
      <c r="I21" s="37" t="s">
        <v>589</v>
      </c>
    </row>
    <row r="22" spans="1:9" ht="20" customHeight="1" x14ac:dyDescent="0.2">
      <c r="A22" s="36" t="s">
        <v>554</v>
      </c>
      <c r="B22" s="5" t="s">
        <v>14</v>
      </c>
      <c r="C22" s="5" t="s">
        <v>547</v>
      </c>
      <c r="D22" s="5" t="s">
        <v>541</v>
      </c>
      <c r="E22" s="5" t="s">
        <v>603</v>
      </c>
      <c r="F22" s="5" t="s">
        <v>604</v>
      </c>
      <c r="G22" s="5" t="s">
        <v>14</v>
      </c>
      <c r="H22" s="5" t="s">
        <v>600</v>
      </c>
      <c r="I22" s="37" t="s">
        <v>589</v>
      </c>
    </row>
    <row r="23" spans="1:9" ht="20" customHeight="1" x14ac:dyDescent="0.2">
      <c r="A23" s="36" t="s">
        <v>557</v>
      </c>
      <c r="B23" s="5" t="s">
        <v>42</v>
      </c>
      <c r="C23" s="5" t="s">
        <v>547</v>
      </c>
      <c r="D23" s="5" t="s">
        <v>541</v>
      </c>
      <c r="E23" s="5" t="s">
        <v>603</v>
      </c>
      <c r="F23" s="5" t="s">
        <v>604</v>
      </c>
      <c r="G23" s="5" t="s">
        <v>42</v>
      </c>
      <c r="H23" s="5" t="s">
        <v>600</v>
      </c>
      <c r="I23" s="37" t="s">
        <v>589</v>
      </c>
    </row>
    <row r="24" spans="1:9" ht="20" customHeight="1" x14ac:dyDescent="0.2">
      <c r="A24" s="36" t="s">
        <v>551</v>
      </c>
      <c r="B24" s="5" t="s">
        <v>5</v>
      </c>
      <c r="C24" s="5" t="s">
        <v>547</v>
      </c>
      <c r="D24" s="5" t="s">
        <v>541</v>
      </c>
      <c r="E24" s="5" t="s">
        <v>603</v>
      </c>
      <c r="F24" s="5" t="s">
        <v>604</v>
      </c>
      <c r="G24" s="5" t="s">
        <v>587</v>
      </c>
      <c r="H24" s="5" t="s">
        <v>600</v>
      </c>
      <c r="I24" s="37" t="s">
        <v>589</v>
      </c>
    </row>
    <row r="25" spans="1:9" ht="20" customHeight="1" x14ac:dyDescent="0.2">
      <c r="A25" s="36" t="s">
        <v>530</v>
      </c>
      <c r="B25" s="5" t="s">
        <v>11</v>
      </c>
      <c r="C25" s="5" t="s">
        <v>547</v>
      </c>
      <c r="D25" s="5" t="s">
        <v>541</v>
      </c>
      <c r="E25" s="5" t="s">
        <v>605</v>
      </c>
      <c r="F25" s="5" t="s">
        <v>606</v>
      </c>
      <c r="G25" s="5" t="s">
        <v>11</v>
      </c>
      <c r="H25" s="5" t="s">
        <v>600</v>
      </c>
      <c r="I25" s="37" t="s">
        <v>589</v>
      </c>
    </row>
    <row r="26" spans="1:9" ht="20" customHeight="1" x14ac:dyDescent="0.2">
      <c r="A26" s="38" t="s">
        <v>546</v>
      </c>
      <c r="B26" s="39" t="s">
        <v>8</v>
      </c>
      <c r="C26" s="39" t="s">
        <v>547</v>
      </c>
      <c r="D26" s="39" t="s">
        <v>541</v>
      </c>
      <c r="E26" s="39" t="s">
        <v>605</v>
      </c>
      <c r="F26" s="39" t="s">
        <v>606</v>
      </c>
      <c r="G26" s="39" t="s">
        <v>592</v>
      </c>
      <c r="H26" s="39" t="s">
        <v>600</v>
      </c>
      <c r="I26" s="40" t="s">
        <v>589</v>
      </c>
    </row>
    <row r="29" spans="1:9" ht="212" customHeight="1" x14ac:dyDescent="0.2">
      <c r="A29" s="103" t="s">
        <v>622</v>
      </c>
      <c r="B29" s="103"/>
      <c r="C29" s="103"/>
      <c r="D29" s="103"/>
      <c r="E29" s="103"/>
      <c r="F29" s="103"/>
      <c r="G29" s="103"/>
      <c r="H29" s="103"/>
      <c r="I29" s="103"/>
    </row>
  </sheetData>
  <mergeCells count="2">
    <mergeCell ref="A1:I1"/>
    <mergeCell ref="A29:I29"/>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AF72B-1630-B247-B6DC-1EEF5804D401}">
  <dimension ref="A1:Q11"/>
  <sheetViews>
    <sheetView workbookViewId="0">
      <selection activeCell="E14" sqref="E14"/>
    </sheetView>
  </sheetViews>
  <sheetFormatPr baseColWidth="10" defaultRowHeight="15" x14ac:dyDescent="0.2"/>
  <cols>
    <col min="1" max="1" width="11.1640625" customWidth="1"/>
    <col min="2" max="2" width="12.1640625" customWidth="1"/>
    <col min="3" max="3" width="30.5" customWidth="1"/>
    <col min="4" max="6" width="16.6640625" customWidth="1"/>
    <col min="7" max="9" width="11" customWidth="1"/>
  </cols>
  <sheetData>
    <row r="1" spans="1:17" ht="42" customHeight="1" x14ac:dyDescent="0.2">
      <c r="A1" s="104" t="s">
        <v>615</v>
      </c>
      <c r="B1" s="104"/>
      <c r="C1" s="104"/>
      <c r="D1" s="104"/>
      <c r="E1" s="104"/>
      <c r="F1" s="104"/>
      <c r="G1" s="104"/>
      <c r="H1" s="104"/>
      <c r="I1" s="104"/>
    </row>
    <row r="2" spans="1:17" ht="49" customHeight="1" x14ac:dyDescent="0.2">
      <c r="A2" s="71" t="s">
        <v>562</v>
      </c>
      <c r="B2" s="72" t="s">
        <v>578</v>
      </c>
      <c r="C2" s="72" t="s">
        <v>614</v>
      </c>
      <c r="D2" s="72" t="s">
        <v>570</v>
      </c>
      <c r="E2" s="72" t="s">
        <v>639</v>
      </c>
      <c r="F2" s="72" t="s">
        <v>571</v>
      </c>
      <c r="G2" s="73" t="s">
        <v>625</v>
      </c>
      <c r="H2" s="73" t="s">
        <v>626</v>
      </c>
      <c r="I2" s="72" t="s">
        <v>627</v>
      </c>
      <c r="L2" s="12"/>
      <c r="M2" s="13"/>
      <c r="N2" s="14"/>
      <c r="O2" s="14"/>
      <c r="P2" s="14"/>
      <c r="Q2" s="14"/>
    </row>
    <row r="3" spans="1:17" ht="51" customHeight="1" x14ac:dyDescent="0.2">
      <c r="A3" s="44" t="s">
        <v>536</v>
      </c>
      <c r="B3" s="84" t="s">
        <v>533</v>
      </c>
      <c r="C3" s="8" t="s">
        <v>572</v>
      </c>
      <c r="D3" s="6">
        <v>28000</v>
      </c>
      <c r="E3" s="6">
        <v>35000</v>
      </c>
      <c r="F3" s="6">
        <v>42000</v>
      </c>
      <c r="G3" s="45">
        <f xml:space="preserve"> (Table4[[#This Row],[Band Mid
(refer to mercer)]]-Table4[[#This Row],[Band Min]])/Table4[[#This Row],[Band Min]]</f>
        <v>0.25</v>
      </c>
      <c r="H3" s="45">
        <f>(Table4[[#This Row],[Band Max]]-Table4[[#This Row],[Band Mid
(refer to mercer)]])/Table4[[#This Row],[Band Mid
(refer to mercer)]]</f>
        <v>0.2</v>
      </c>
      <c r="I3" s="74">
        <f>(Table4[[#This Row],[Band Max]]-Table4[[#This Row],[Band Min]])/Table4[[#This Row],[Band Min]]</f>
        <v>0.5</v>
      </c>
    </row>
    <row r="4" spans="1:17" ht="51" customHeight="1" x14ac:dyDescent="0.2">
      <c r="A4" s="44" t="s">
        <v>537</v>
      </c>
      <c r="B4" s="84" t="s">
        <v>533</v>
      </c>
      <c r="C4" s="8" t="s">
        <v>573</v>
      </c>
      <c r="D4" s="6">
        <v>32000</v>
      </c>
      <c r="E4" s="6">
        <v>40000</v>
      </c>
      <c r="F4" s="6">
        <v>48000</v>
      </c>
      <c r="G4" s="45">
        <f xml:space="preserve"> (Table4[[#This Row],[Band Mid
(refer to mercer)]]-Table4[[#This Row],[Band Min]])/Table4[[#This Row],[Band Min]]</f>
        <v>0.25</v>
      </c>
      <c r="H4" s="45">
        <f>(Table4[[#This Row],[Band Max]]-Table4[[#This Row],[Band Mid
(refer to mercer)]])/Table4[[#This Row],[Band Mid
(refer to mercer)]]</f>
        <v>0.2</v>
      </c>
      <c r="I4" s="75">
        <f>(Table4[[#This Row],[Band Max]]-Table4[[#This Row],[Band Min]])/Table4[[#This Row],[Band Min]]</f>
        <v>0.5</v>
      </c>
    </row>
    <row r="5" spans="1:17" ht="51" customHeight="1" x14ac:dyDescent="0.2">
      <c r="A5" s="44" t="s">
        <v>538</v>
      </c>
      <c r="B5" s="84" t="s">
        <v>535</v>
      </c>
      <c r="C5" s="8" t="s">
        <v>574</v>
      </c>
      <c r="D5" s="6">
        <v>37500</v>
      </c>
      <c r="E5" s="6">
        <v>50000</v>
      </c>
      <c r="F5" s="6">
        <v>62500</v>
      </c>
      <c r="G5" s="45">
        <f xml:space="preserve"> (Table4[[#This Row],[Band Mid
(refer to mercer)]]-Table4[[#This Row],[Band Min]])/Table4[[#This Row],[Band Min]]</f>
        <v>0.33333333333333331</v>
      </c>
      <c r="H5" s="45">
        <f>(Table4[[#This Row],[Band Max]]-Table4[[#This Row],[Band Mid
(refer to mercer)]])/Table4[[#This Row],[Band Mid
(refer to mercer)]]</f>
        <v>0.25</v>
      </c>
      <c r="I5" s="75">
        <f>(Table4[[#This Row],[Band Max]]-Table4[[#This Row],[Band Min]])/Table4[[#This Row],[Band Min]]</f>
        <v>0.66666666666666663</v>
      </c>
    </row>
    <row r="6" spans="1:17" ht="51" customHeight="1" x14ac:dyDescent="0.2">
      <c r="A6" s="44" t="s">
        <v>539</v>
      </c>
      <c r="B6" s="84" t="s">
        <v>532</v>
      </c>
      <c r="C6" s="8" t="s">
        <v>575</v>
      </c>
      <c r="D6" s="6">
        <v>52500</v>
      </c>
      <c r="E6" s="6">
        <v>75000</v>
      </c>
      <c r="F6" s="6">
        <v>97500</v>
      </c>
      <c r="G6" s="45">
        <f xml:space="preserve"> (Table4[[#This Row],[Band Mid
(refer to mercer)]]-Table4[[#This Row],[Band Min]])/Table4[[#This Row],[Band Min]]</f>
        <v>0.42857142857142855</v>
      </c>
      <c r="H6" s="45">
        <f>(Table4[[#This Row],[Band Max]]-Table4[[#This Row],[Band Mid
(refer to mercer)]])/Table4[[#This Row],[Band Mid
(refer to mercer)]]</f>
        <v>0.3</v>
      </c>
      <c r="I6" s="75">
        <f>(Table4[[#This Row],[Band Max]]-Table4[[#This Row],[Band Min]])/Table4[[#This Row],[Band Min]]</f>
        <v>0.8571428571428571</v>
      </c>
    </row>
    <row r="7" spans="1:17" ht="51" customHeight="1" x14ac:dyDescent="0.2">
      <c r="A7" s="44" t="s">
        <v>540</v>
      </c>
      <c r="B7" s="84" t="s">
        <v>532</v>
      </c>
      <c r="C7" s="8" t="s">
        <v>576</v>
      </c>
      <c r="D7" s="6">
        <v>59500</v>
      </c>
      <c r="E7" s="6">
        <v>85000</v>
      </c>
      <c r="F7" s="6">
        <v>110500</v>
      </c>
      <c r="G7" s="45">
        <f xml:space="preserve"> (Table4[[#This Row],[Band Mid
(refer to mercer)]]-Table4[[#This Row],[Band Min]])/Table4[[#This Row],[Band Min]]</f>
        <v>0.42857142857142855</v>
      </c>
      <c r="H7" s="45">
        <f>(Table4[[#This Row],[Band Max]]-Table4[[#This Row],[Band Mid
(refer to mercer)]])/Table4[[#This Row],[Band Mid
(refer to mercer)]]</f>
        <v>0.3</v>
      </c>
      <c r="I7" s="75">
        <f>(Table4[[#This Row],[Band Max]]-Table4[[#This Row],[Band Min]])/Table4[[#This Row],[Band Min]]</f>
        <v>0.8571428571428571</v>
      </c>
    </row>
    <row r="8" spans="1:17" ht="51" customHeight="1" x14ac:dyDescent="0.2">
      <c r="A8" s="46" t="s">
        <v>541</v>
      </c>
      <c r="B8" s="85" t="s">
        <v>547</v>
      </c>
      <c r="C8" s="47" t="s">
        <v>577</v>
      </c>
      <c r="D8" s="48">
        <v>60000</v>
      </c>
      <c r="E8" s="48">
        <v>95000</v>
      </c>
      <c r="F8" s="48">
        <v>135000</v>
      </c>
      <c r="G8" s="49">
        <f xml:space="preserve"> (Table4[[#This Row],[Band Mid
(refer to mercer)]]-Table4[[#This Row],[Band Min]])/Table4[[#This Row],[Band Min]]</f>
        <v>0.58333333333333337</v>
      </c>
      <c r="H8" s="49">
        <f>(Table4[[#This Row],[Band Max]]-Table4[[#This Row],[Band Mid
(refer to mercer)]])/Table4[[#This Row],[Band Mid
(refer to mercer)]]</f>
        <v>0.42105263157894735</v>
      </c>
      <c r="I8" s="76">
        <f>(Table4[[#This Row],[Band Max]]-Table4[[#This Row],[Band Min]])/Table4[[#This Row],[Band Min]]</f>
        <v>1.25</v>
      </c>
    </row>
    <row r="10" spans="1:17" x14ac:dyDescent="0.2">
      <c r="A10" s="7"/>
    </row>
    <row r="11" spans="1:17" ht="247" customHeight="1" x14ac:dyDescent="0.2">
      <c r="A11" s="105" t="s">
        <v>623</v>
      </c>
      <c r="B11" s="106"/>
      <c r="C11" s="106"/>
      <c r="D11" s="106"/>
      <c r="E11" s="106"/>
      <c r="F11" s="106"/>
      <c r="G11" s="106"/>
      <c r="H11" s="106"/>
      <c r="I11" s="106"/>
    </row>
  </sheetData>
  <mergeCells count="2">
    <mergeCell ref="A11:I11"/>
    <mergeCell ref="A1:I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0C30E-E7D2-6E4E-8AEA-510D84A97E6B}">
  <dimension ref="A1:N56"/>
  <sheetViews>
    <sheetView workbookViewId="0">
      <selection activeCell="L21" sqref="L21"/>
    </sheetView>
  </sheetViews>
  <sheetFormatPr baseColWidth="10" defaultRowHeight="16" x14ac:dyDescent="0.2"/>
  <cols>
    <col min="1" max="1" width="13.5" style="9" customWidth="1"/>
    <col min="2" max="2" width="20.5" style="9" customWidth="1"/>
    <col min="3" max="6" width="15.83203125" style="9" customWidth="1"/>
    <col min="7" max="8" width="7.6640625" customWidth="1"/>
    <col min="9" max="9" width="33" customWidth="1"/>
    <col min="10" max="10" width="16.83203125" customWidth="1"/>
    <col min="11" max="12" width="8.83203125" customWidth="1"/>
    <col min="13" max="13" width="37.83203125" customWidth="1"/>
    <col min="14" max="14" width="11.33203125" customWidth="1"/>
  </cols>
  <sheetData>
    <row r="1" spans="1:14" s="4" customFormat="1" ht="24" customHeight="1" thickBot="1" x14ac:dyDescent="0.25">
      <c r="A1" s="109" t="s">
        <v>612</v>
      </c>
      <c r="B1" s="109"/>
      <c r="C1" s="109"/>
      <c r="D1" s="109"/>
      <c r="E1" s="109"/>
      <c r="F1" s="109"/>
    </row>
    <row r="2" spans="1:14" s="3" customFormat="1" ht="27" customHeight="1" thickBot="1" x14ac:dyDescent="0.25">
      <c r="A2" s="110" t="s">
        <v>567</v>
      </c>
      <c r="B2" s="111"/>
      <c r="C2" s="111"/>
      <c r="D2" s="111"/>
      <c r="E2" s="111"/>
      <c r="F2" s="112"/>
      <c r="I2" s="107" t="s">
        <v>631</v>
      </c>
      <c r="J2" s="108"/>
    </row>
    <row r="3" spans="1:14" s="3" customFormat="1" ht="27" customHeight="1" thickBot="1" x14ac:dyDescent="0.25">
      <c r="A3" s="77" t="s">
        <v>607</v>
      </c>
      <c r="B3" s="78" t="s">
        <v>608</v>
      </c>
      <c r="C3" s="79" t="s">
        <v>609</v>
      </c>
      <c r="D3" s="79" t="s">
        <v>610</v>
      </c>
      <c r="E3" s="79" t="s">
        <v>611</v>
      </c>
      <c r="F3" s="80" t="s">
        <v>589</v>
      </c>
      <c r="I3" s="86" t="s">
        <v>642</v>
      </c>
      <c r="J3" s="87">
        <v>13854899</v>
      </c>
    </row>
    <row r="4" spans="1:14" s="3" customFormat="1" ht="21" customHeight="1" x14ac:dyDescent="0.2">
      <c r="A4" s="33">
        <v>5</v>
      </c>
      <c r="B4" s="50">
        <v>0.08</v>
      </c>
      <c r="C4" s="51">
        <v>7.0000000000000007E-2</v>
      </c>
      <c r="D4" s="51">
        <v>0.06</v>
      </c>
      <c r="E4" s="51">
        <v>0.04</v>
      </c>
      <c r="F4" s="52">
        <v>0.02</v>
      </c>
      <c r="I4" s="88" t="s">
        <v>629</v>
      </c>
      <c r="J4" s="89">
        <v>0.03</v>
      </c>
    </row>
    <row r="5" spans="1:14" s="3" customFormat="1" ht="21" customHeight="1" x14ac:dyDescent="0.2">
      <c r="A5" s="34">
        <v>4</v>
      </c>
      <c r="B5" s="53">
        <v>0.06</v>
      </c>
      <c r="C5" s="54">
        <v>0.05</v>
      </c>
      <c r="D5" s="54">
        <v>0.04</v>
      </c>
      <c r="E5" s="54">
        <v>0.03</v>
      </c>
      <c r="F5" s="55">
        <v>1.4999999999999999E-2</v>
      </c>
      <c r="I5" s="88" t="s">
        <v>632</v>
      </c>
      <c r="J5" s="89">
        <v>0.03</v>
      </c>
    </row>
    <row r="6" spans="1:14" s="3" customFormat="1" ht="21" customHeight="1" x14ac:dyDescent="0.2">
      <c r="A6" s="34">
        <v>3</v>
      </c>
      <c r="B6" s="53">
        <v>0.04</v>
      </c>
      <c r="C6" s="54">
        <v>0.03</v>
      </c>
      <c r="D6" s="56">
        <v>2.5000000000000001E-2</v>
      </c>
      <c r="E6" s="54">
        <v>0.02</v>
      </c>
      <c r="F6" s="57">
        <v>0.01</v>
      </c>
      <c r="I6" s="88" t="s">
        <v>633</v>
      </c>
      <c r="J6" s="87">
        <f>J3*J5</f>
        <v>415646.97</v>
      </c>
      <c r="K6"/>
    </row>
    <row r="7" spans="1:14" ht="21" customHeight="1" x14ac:dyDescent="0.2">
      <c r="A7" s="34">
        <v>2</v>
      </c>
      <c r="B7" s="53">
        <v>0.02</v>
      </c>
      <c r="C7" s="56">
        <v>1.4999999999999999E-2</v>
      </c>
      <c r="D7" s="54">
        <v>0.01</v>
      </c>
      <c r="E7" s="56">
        <v>5.0000000000000001E-3</v>
      </c>
      <c r="F7" s="57">
        <v>0</v>
      </c>
      <c r="I7" s="92" t="s">
        <v>634</v>
      </c>
      <c r="J7" s="93">
        <v>2.2700000000000001E-2</v>
      </c>
    </row>
    <row r="8" spans="1:14" ht="21" customHeight="1" thickBot="1" x14ac:dyDescent="0.25">
      <c r="A8" s="35">
        <v>1</v>
      </c>
      <c r="B8" s="58">
        <v>0</v>
      </c>
      <c r="C8" s="59">
        <v>0</v>
      </c>
      <c r="D8" s="59">
        <v>0</v>
      </c>
      <c r="E8" s="59">
        <v>0</v>
      </c>
      <c r="F8" s="60">
        <v>0</v>
      </c>
      <c r="I8" s="92" t="s">
        <v>635</v>
      </c>
      <c r="J8" s="94">
        <v>355650</v>
      </c>
    </row>
    <row r="9" spans="1:14" ht="21" customHeight="1" x14ac:dyDescent="0.2">
      <c r="I9" s="90" t="s">
        <v>630</v>
      </c>
      <c r="J9" s="91">
        <f>J8/250</f>
        <v>1422.6</v>
      </c>
    </row>
    <row r="10" spans="1:14" ht="21" customHeight="1" x14ac:dyDescent="0.2">
      <c r="I10" s="88" t="s">
        <v>643</v>
      </c>
      <c r="J10" s="87">
        <f>J6-J8</f>
        <v>59996.969999999972</v>
      </c>
    </row>
    <row r="11" spans="1:14" ht="17" customHeight="1" x14ac:dyDescent="0.2">
      <c r="A11" s="113" t="s">
        <v>641</v>
      </c>
      <c r="B11" s="113"/>
      <c r="C11" s="113"/>
      <c r="D11" s="113"/>
      <c r="E11" s="113"/>
      <c r="F11" s="113"/>
    </row>
    <row r="12" spans="1:14" ht="20" customHeight="1" x14ac:dyDescent="0.2">
      <c r="A12" s="113"/>
      <c r="B12" s="113"/>
      <c r="C12" s="113"/>
      <c r="D12" s="113"/>
      <c r="E12" s="113"/>
      <c r="F12" s="113"/>
      <c r="G12" s="82"/>
      <c r="H12" s="82"/>
      <c r="I12" s="70"/>
    </row>
    <row r="13" spans="1:14" ht="20" customHeight="1" x14ac:dyDescent="0.2">
      <c r="A13" s="113"/>
      <c r="B13" s="113"/>
      <c r="C13" s="113"/>
      <c r="D13" s="113"/>
      <c r="E13" s="113"/>
      <c r="F13" s="113"/>
      <c r="G13" s="82"/>
      <c r="H13" s="82"/>
      <c r="I13" s="113" t="s">
        <v>644</v>
      </c>
      <c r="J13" s="113"/>
    </row>
    <row r="14" spans="1:14" ht="20" customHeight="1" x14ac:dyDescent="0.2">
      <c r="A14" s="113"/>
      <c r="B14" s="113"/>
      <c r="C14" s="113"/>
      <c r="D14" s="113"/>
      <c r="E14" s="113"/>
      <c r="F14" s="113"/>
      <c r="G14" s="82"/>
      <c r="H14" s="82"/>
      <c r="I14" s="113"/>
      <c r="J14" s="113"/>
    </row>
    <row r="15" spans="1:14" ht="20" customHeight="1" x14ac:dyDescent="0.2">
      <c r="A15" s="113"/>
      <c r="B15" s="113"/>
      <c r="C15" s="113"/>
      <c r="D15" s="113"/>
      <c r="E15" s="113"/>
      <c r="F15" s="113"/>
      <c r="G15" s="82"/>
      <c r="H15" s="82"/>
      <c r="I15" s="113"/>
      <c r="J15" s="113"/>
    </row>
    <row r="16" spans="1:14" ht="20" customHeight="1" x14ac:dyDescent="0.2">
      <c r="A16" s="113"/>
      <c r="B16" s="113"/>
      <c r="C16" s="113"/>
      <c r="D16" s="113"/>
      <c r="E16" s="113"/>
      <c r="F16" s="113"/>
      <c r="G16" s="82"/>
      <c r="H16" s="82"/>
      <c r="I16" s="113"/>
      <c r="J16" s="113"/>
      <c r="M16" s="95"/>
      <c r="N16" s="95"/>
    </row>
    <row r="17" spans="1:10" ht="20" customHeight="1" x14ac:dyDescent="0.2">
      <c r="A17" s="113"/>
      <c r="B17" s="113"/>
      <c r="C17" s="113"/>
      <c r="D17" s="113"/>
      <c r="E17" s="113"/>
      <c r="F17" s="113"/>
      <c r="G17" s="82"/>
      <c r="H17" s="82"/>
      <c r="I17" s="113"/>
      <c r="J17" s="113"/>
    </row>
    <row r="18" spans="1:10" ht="20" customHeight="1" x14ac:dyDescent="0.2">
      <c r="A18" s="113"/>
      <c r="B18" s="113"/>
      <c r="C18" s="113"/>
      <c r="D18" s="113"/>
      <c r="E18" s="113"/>
      <c r="F18" s="113"/>
      <c r="G18" s="82"/>
      <c r="H18" s="82"/>
      <c r="I18" s="113"/>
      <c r="J18" s="113"/>
    </row>
    <row r="19" spans="1:10" ht="20" customHeight="1" x14ac:dyDescent="0.2">
      <c r="A19" s="113"/>
      <c r="B19" s="113"/>
      <c r="C19" s="113"/>
      <c r="D19" s="113"/>
      <c r="E19" s="113"/>
      <c r="F19" s="113"/>
      <c r="G19" s="82"/>
      <c r="H19" s="82"/>
      <c r="I19" s="113"/>
      <c r="J19" s="113"/>
    </row>
    <row r="20" spans="1:10" ht="20" customHeight="1" x14ac:dyDescent="0.2">
      <c r="A20" s="113"/>
      <c r="B20" s="113"/>
      <c r="C20" s="113"/>
      <c r="D20" s="113"/>
      <c r="E20" s="113"/>
      <c r="F20" s="113"/>
      <c r="G20" s="82"/>
      <c r="H20" s="82"/>
      <c r="I20" s="113"/>
      <c r="J20" s="113"/>
    </row>
    <row r="21" spans="1:10" ht="20" customHeight="1" x14ac:dyDescent="0.2">
      <c r="A21" s="113"/>
      <c r="B21" s="113"/>
      <c r="C21" s="113"/>
      <c r="D21" s="113"/>
      <c r="E21" s="113"/>
      <c r="F21" s="113"/>
      <c r="G21" s="82"/>
      <c r="H21" s="82"/>
      <c r="I21" s="113"/>
      <c r="J21" s="113"/>
    </row>
    <row r="22" spans="1:10" ht="20" customHeight="1" x14ac:dyDescent="0.2">
      <c r="A22" s="113"/>
      <c r="B22" s="113"/>
      <c r="C22" s="113"/>
      <c r="D22" s="113"/>
      <c r="E22" s="113"/>
      <c r="F22" s="113"/>
      <c r="G22" s="82"/>
      <c r="H22" s="82"/>
      <c r="I22" s="82"/>
      <c r="J22" s="82"/>
    </row>
    <row r="23" spans="1:10" ht="20" customHeight="1" x14ac:dyDescent="0.2">
      <c r="A23" s="113"/>
      <c r="B23" s="113"/>
      <c r="C23" s="113"/>
      <c r="D23" s="113"/>
      <c r="E23" s="113"/>
      <c r="F23" s="113"/>
      <c r="G23" s="82"/>
      <c r="H23" s="82"/>
      <c r="I23" s="82"/>
      <c r="J23" s="82"/>
    </row>
    <row r="24" spans="1:10" ht="20" customHeight="1" x14ac:dyDescent="0.2">
      <c r="A24" s="113"/>
      <c r="B24" s="113"/>
      <c r="C24" s="113"/>
      <c r="D24" s="113"/>
      <c r="E24" s="113"/>
      <c r="F24" s="113"/>
      <c r="G24" s="82"/>
      <c r="H24" s="82"/>
      <c r="I24" s="82"/>
      <c r="J24" s="82"/>
    </row>
    <row r="25" spans="1:10" ht="20" customHeight="1" x14ac:dyDescent="0.2">
      <c r="A25" s="113"/>
      <c r="B25" s="113"/>
      <c r="C25" s="113"/>
      <c r="D25" s="113"/>
      <c r="E25" s="113"/>
      <c r="F25" s="113"/>
      <c r="G25" s="82"/>
      <c r="H25" s="82"/>
      <c r="I25" s="82"/>
      <c r="J25" s="82"/>
    </row>
    <row r="26" spans="1:10" ht="20" customHeight="1" x14ac:dyDescent="0.2">
      <c r="A26" s="113"/>
      <c r="B26" s="113"/>
      <c r="C26" s="113"/>
      <c r="D26" s="113"/>
      <c r="E26" s="113"/>
      <c r="F26" s="113"/>
      <c r="G26" s="82"/>
      <c r="H26" s="82"/>
      <c r="I26" s="82"/>
      <c r="J26" s="82"/>
    </row>
    <row r="27" spans="1:10" ht="20" customHeight="1" x14ac:dyDescent="0.2">
      <c r="A27" s="113"/>
      <c r="B27" s="113"/>
      <c r="C27" s="113"/>
      <c r="D27" s="113"/>
      <c r="E27" s="113"/>
      <c r="F27" s="113"/>
      <c r="G27" s="82"/>
      <c r="H27" s="82"/>
      <c r="I27" s="82"/>
      <c r="J27" s="82"/>
    </row>
    <row r="28" spans="1:10" ht="20" customHeight="1" x14ac:dyDescent="0.2">
      <c r="A28" s="113"/>
      <c r="B28" s="113"/>
      <c r="C28" s="113"/>
      <c r="D28" s="113"/>
      <c r="E28" s="113"/>
      <c r="F28" s="113"/>
      <c r="G28" s="82"/>
      <c r="H28" s="82"/>
      <c r="I28" s="82"/>
      <c r="J28" s="82"/>
    </row>
    <row r="29" spans="1:10" ht="20" customHeight="1" x14ac:dyDescent="0.2">
      <c r="A29" s="113"/>
      <c r="B29" s="113"/>
      <c r="C29" s="113"/>
      <c r="D29" s="113"/>
      <c r="E29" s="113"/>
      <c r="F29" s="113"/>
      <c r="G29" s="82"/>
      <c r="H29" s="82"/>
      <c r="I29" s="82"/>
      <c r="J29" s="82"/>
    </row>
    <row r="30" spans="1:10" ht="20" customHeight="1" x14ac:dyDescent="0.2">
      <c r="A30" s="113"/>
      <c r="B30" s="113"/>
      <c r="C30" s="113"/>
      <c r="D30" s="113"/>
      <c r="E30" s="113"/>
      <c r="F30" s="113"/>
      <c r="G30" s="82"/>
      <c r="H30" s="82"/>
      <c r="I30" s="82"/>
      <c r="J30" s="82"/>
    </row>
    <row r="31" spans="1:10" ht="20" customHeight="1" x14ac:dyDescent="0.2">
      <c r="A31" s="113"/>
      <c r="B31" s="113"/>
      <c r="C31" s="113"/>
      <c r="D31" s="113"/>
      <c r="E31" s="113"/>
      <c r="F31" s="113"/>
      <c r="G31" s="82"/>
      <c r="H31" s="82"/>
      <c r="I31" s="82"/>
      <c r="J31" s="82"/>
    </row>
    <row r="32" spans="1:10" ht="20" customHeight="1" x14ac:dyDescent="0.2">
      <c r="A32" s="113"/>
      <c r="B32" s="113"/>
      <c r="C32" s="113"/>
      <c r="D32" s="113"/>
      <c r="E32" s="113"/>
      <c r="F32" s="113"/>
      <c r="G32" s="82"/>
      <c r="H32" s="82"/>
      <c r="I32" s="82"/>
      <c r="J32" s="82"/>
    </row>
    <row r="33" spans="1:10" ht="20" customHeight="1" x14ac:dyDescent="0.2">
      <c r="A33" s="113"/>
      <c r="B33" s="113"/>
      <c r="C33" s="113"/>
      <c r="D33" s="113"/>
      <c r="E33" s="113"/>
      <c r="F33" s="113"/>
      <c r="G33" s="82"/>
      <c r="H33" s="82"/>
      <c r="I33" s="82"/>
      <c r="J33" s="82"/>
    </row>
    <row r="34" spans="1:10" ht="20" customHeight="1" x14ac:dyDescent="0.2">
      <c r="A34" s="113"/>
      <c r="B34" s="113"/>
      <c r="C34" s="113"/>
      <c r="D34" s="113"/>
      <c r="E34" s="113"/>
      <c r="F34" s="113"/>
      <c r="G34" s="82"/>
      <c r="H34" s="82"/>
      <c r="I34" s="82"/>
      <c r="J34" s="82"/>
    </row>
    <row r="35" spans="1:10" ht="20" customHeight="1" x14ac:dyDescent="0.2">
      <c r="A35" s="113"/>
      <c r="B35" s="113"/>
      <c r="C35" s="113"/>
      <c r="D35" s="113"/>
      <c r="E35" s="113"/>
      <c r="F35" s="113"/>
      <c r="G35" s="82"/>
      <c r="H35" s="82"/>
      <c r="I35" s="82"/>
      <c r="J35" s="82"/>
    </row>
    <row r="36" spans="1:10" ht="20" customHeight="1" x14ac:dyDescent="0.2">
      <c r="A36" s="113"/>
      <c r="B36" s="113"/>
      <c r="C36" s="113"/>
      <c r="D36" s="113"/>
      <c r="E36" s="113"/>
      <c r="F36" s="113"/>
      <c r="G36" s="82"/>
      <c r="H36" s="82"/>
      <c r="I36" s="82"/>
      <c r="J36" s="82"/>
    </row>
    <row r="37" spans="1:10" ht="18" customHeight="1" x14ac:dyDescent="0.2">
      <c r="A37" s="82"/>
      <c r="B37" s="82"/>
      <c r="C37" s="82"/>
      <c r="D37" s="82"/>
      <c r="E37" s="82"/>
      <c r="F37" s="82"/>
    </row>
    <row r="38" spans="1:10" ht="16" customHeight="1" x14ac:dyDescent="0.2">
      <c r="A38" s="82"/>
      <c r="B38" s="82"/>
      <c r="C38" s="82"/>
      <c r="D38" s="82"/>
      <c r="E38" s="82"/>
      <c r="F38" s="82"/>
    </row>
    <row r="39" spans="1:10" ht="16" customHeight="1" x14ac:dyDescent="0.2">
      <c r="A39" s="81"/>
      <c r="B39" s="81"/>
      <c r="C39" s="81"/>
      <c r="D39" s="81"/>
      <c r="E39" s="81"/>
      <c r="F39" s="81"/>
    </row>
    <row r="40" spans="1:10" ht="16" customHeight="1" x14ac:dyDescent="0.2">
      <c r="A40" s="81"/>
      <c r="B40" s="81"/>
      <c r="C40" s="81"/>
      <c r="D40" s="81"/>
      <c r="E40" s="81"/>
      <c r="F40" s="81"/>
    </row>
    <row r="41" spans="1:10" ht="16" customHeight="1" x14ac:dyDescent="0.2">
      <c r="A41" s="81"/>
      <c r="B41" s="81"/>
      <c r="C41" s="81"/>
      <c r="D41" s="81"/>
      <c r="E41" s="81"/>
      <c r="F41" s="81"/>
    </row>
    <row r="42" spans="1:10" ht="16" customHeight="1" x14ac:dyDescent="0.2">
      <c r="A42" s="81"/>
      <c r="B42" s="81"/>
      <c r="C42" s="81"/>
      <c r="D42" s="81"/>
      <c r="E42" s="81"/>
      <c r="F42" s="81"/>
    </row>
    <row r="43" spans="1:10" ht="16" customHeight="1" x14ac:dyDescent="0.2">
      <c r="A43" s="81"/>
      <c r="B43" s="81"/>
      <c r="C43" s="81"/>
      <c r="D43" s="81"/>
      <c r="E43" s="81"/>
      <c r="F43" s="81"/>
    </row>
    <row r="44" spans="1:10" ht="16" customHeight="1" x14ac:dyDescent="0.2">
      <c r="A44" s="81"/>
      <c r="B44" s="81"/>
      <c r="C44" s="81"/>
      <c r="D44" s="81"/>
      <c r="E44" s="81"/>
      <c r="F44" s="81"/>
    </row>
    <row r="45" spans="1:10" ht="16" customHeight="1" x14ac:dyDescent="0.2">
      <c r="A45" s="81"/>
      <c r="B45" s="81"/>
      <c r="C45" s="81"/>
      <c r="D45" s="81"/>
      <c r="E45" s="81"/>
      <c r="F45" s="81"/>
    </row>
    <row r="46" spans="1:10" ht="16" customHeight="1" x14ac:dyDescent="0.2">
      <c r="A46" s="81"/>
      <c r="B46" s="81"/>
      <c r="C46" s="81"/>
      <c r="D46" s="81"/>
      <c r="E46" s="81"/>
      <c r="F46" s="81"/>
    </row>
    <row r="47" spans="1:10" ht="16" customHeight="1" x14ac:dyDescent="0.2">
      <c r="A47" s="81"/>
      <c r="B47" s="81"/>
      <c r="C47" s="81"/>
      <c r="D47" s="81"/>
      <c r="E47" s="81"/>
      <c r="F47" s="81"/>
    </row>
    <row r="48" spans="1:10" ht="16" customHeight="1" x14ac:dyDescent="0.2">
      <c r="A48" s="81"/>
      <c r="B48" s="81"/>
      <c r="C48" s="81"/>
      <c r="D48" s="81"/>
      <c r="E48" s="81"/>
      <c r="F48" s="81"/>
    </row>
    <row r="49" spans="1:6" ht="16" customHeight="1" x14ac:dyDescent="0.2">
      <c r="A49" s="81"/>
      <c r="B49" s="81"/>
      <c r="C49" s="81"/>
      <c r="D49" s="81"/>
      <c r="E49" s="81"/>
      <c r="F49" s="81"/>
    </row>
    <row r="50" spans="1:6" ht="16" customHeight="1" x14ac:dyDescent="0.2">
      <c r="A50" s="81"/>
      <c r="B50" s="81"/>
      <c r="C50" s="81"/>
      <c r="D50" s="81"/>
      <c r="E50" s="81"/>
      <c r="F50" s="81"/>
    </row>
    <row r="51" spans="1:6" ht="16" customHeight="1" x14ac:dyDescent="0.2">
      <c r="A51" s="81"/>
      <c r="B51" s="81"/>
      <c r="C51" s="81"/>
      <c r="D51" s="81"/>
      <c r="E51" s="81"/>
      <c r="F51" s="81"/>
    </row>
    <row r="52" spans="1:6" ht="16" customHeight="1" x14ac:dyDescent="0.2">
      <c r="A52" s="81"/>
      <c r="B52" s="81"/>
      <c r="C52" s="81"/>
      <c r="D52" s="81"/>
      <c r="E52" s="81"/>
      <c r="F52" s="81"/>
    </row>
    <row r="53" spans="1:6" ht="16" customHeight="1" x14ac:dyDescent="0.2">
      <c r="A53" s="81"/>
      <c r="B53" s="81"/>
      <c r="C53" s="81"/>
      <c r="D53" s="81"/>
      <c r="E53" s="81"/>
      <c r="F53" s="81"/>
    </row>
    <row r="54" spans="1:6" ht="16" customHeight="1" x14ac:dyDescent="0.2">
      <c r="A54" s="81"/>
      <c r="B54" s="81"/>
      <c r="C54" s="81"/>
      <c r="D54" s="81"/>
      <c r="E54" s="81"/>
      <c r="F54" s="81"/>
    </row>
    <row r="55" spans="1:6" ht="16" customHeight="1" x14ac:dyDescent="0.2">
      <c r="A55" s="81"/>
      <c r="B55" s="81"/>
      <c r="C55" s="81"/>
      <c r="D55" s="81"/>
      <c r="E55" s="81"/>
      <c r="F55" s="81"/>
    </row>
    <row r="56" spans="1:6" ht="16" customHeight="1" x14ac:dyDescent="0.2">
      <c r="A56" s="81"/>
      <c r="B56" s="81"/>
      <c r="C56" s="81"/>
      <c r="D56" s="81"/>
      <c r="E56" s="81"/>
      <c r="F56" s="81"/>
    </row>
  </sheetData>
  <mergeCells count="5">
    <mergeCell ref="I2:J2"/>
    <mergeCell ref="A1:F1"/>
    <mergeCell ref="A2:F2"/>
    <mergeCell ref="A11:F36"/>
    <mergeCell ref="I13:J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B5F5B-B04A-7349-A983-BCAD9F3EF3AB}">
  <dimension ref="B3:F11"/>
  <sheetViews>
    <sheetView workbookViewId="0">
      <selection activeCell="N39" sqref="N39"/>
    </sheetView>
  </sheetViews>
  <sheetFormatPr baseColWidth="10" defaultRowHeight="15" x14ac:dyDescent="0.2"/>
  <cols>
    <col min="2" max="2" width="20.83203125" customWidth="1"/>
    <col min="3" max="3" width="16.6640625" customWidth="1"/>
    <col min="5" max="5" width="28.6640625" customWidth="1"/>
    <col min="6" max="6" width="15.6640625" customWidth="1"/>
  </cols>
  <sheetData>
    <row r="3" spans="2:6" ht="31" customHeight="1" x14ac:dyDescent="0.2">
      <c r="B3" s="98" t="s">
        <v>663</v>
      </c>
      <c r="C3" s="98" t="s">
        <v>664</v>
      </c>
      <c r="E3" s="98" t="s">
        <v>651</v>
      </c>
      <c r="F3" s="98" t="s">
        <v>657</v>
      </c>
    </row>
    <row r="4" spans="2:6" ht="20" customHeight="1" x14ac:dyDescent="0.2">
      <c r="B4" s="100" t="s">
        <v>666</v>
      </c>
      <c r="C4" s="99">
        <v>0.1</v>
      </c>
      <c r="D4" s="11"/>
      <c r="E4" s="100" t="s">
        <v>652</v>
      </c>
      <c r="F4" s="101">
        <v>1.5</v>
      </c>
    </row>
    <row r="5" spans="2:6" ht="20" customHeight="1" x14ac:dyDescent="0.2">
      <c r="B5" s="97" t="s">
        <v>667</v>
      </c>
      <c r="C5" s="99">
        <v>0.15</v>
      </c>
      <c r="D5" s="11"/>
      <c r="E5" s="100" t="s">
        <v>653</v>
      </c>
      <c r="F5" s="101">
        <v>1.2</v>
      </c>
    </row>
    <row r="6" spans="2:6" ht="20" customHeight="1" x14ac:dyDescent="0.2">
      <c r="B6" s="97" t="s">
        <v>649</v>
      </c>
      <c r="C6" s="99">
        <v>0.2</v>
      </c>
      <c r="D6" s="11"/>
      <c r="E6" s="100" t="s">
        <v>654</v>
      </c>
      <c r="F6" s="101">
        <v>1</v>
      </c>
    </row>
    <row r="7" spans="2:6" ht="16" x14ac:dyDescent="0.2">
      <c r="B7" s="97" t="s">
        <v>650</v>
      </c>
      <c r="C7" s="99">
        <v>0.25</v>
      </c>
      <c r="D7" s="11"/>
      <c r="E7" s="100" t="s">
        <v>655</v>
      </c>
      <c r="F7" s="101">
        <v>0.5</v>
      </c>
    </row>
    <row r="8" spans="2:6" x14ac:dyDescent="0.2">
      <c r="B8" s="11"/>
      <c r="C8" s="11"/>
      <c r="D8" s="11"/>
      <c r="E8" s="100" t="s">
        <v>656</v>
      </c>
      <c r="F8" s="101">
        <v>0</v>
      </c>
    </row>
    <row r="10" spans="2:6" x14ac:dyDescent="0.2">
      <c r="E10" t="s">
        <v>658</v>
      </c>
    </row>
    <row r="11" spans="2:6" x14ac:dyDescent="0.2">
      <c r="E11" t="s">
        <v>659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B84C6-481A-9A44-97D1-B482313DDB0B}">
  <dimension ref="A1:L21"/>
  <sheetViews>
    <sheetView workbookViewId="0">
      <selection activeCell="D22" sqref="D22"/>
    </sheetView>
  </sheetViews>
  <sheetFormatPr baseColWidth="10" defaultRowHeight="15" x14ac:dyDescent="0.2"/>
  <cols>
    <col min="1" max="1" width="49.1640625" style="1" customWidth="1"/>
    <col min="2" max="2" width="56.83203125" style="1" customWidth="1"/>
    <col min="3" max="3" width="50" style="1" bestFit="1" customWidth="1"/>
    <col min="4" max="4" width="48.1640625" style="1" customWidth="1"/>
    <col min="5" max="12" width="59.6640625" style="1" customWidth="1"/>
  </cols>
  <sheetData>
    <row r="1" spans="1:5" ht="38" customHeight="1" x14ac:dyDescent="0.2">
      <c r="A1" s="114" t="s">
        <v>638</v>
      </c>
      <c r="B1" s="115"/>
      <c r="C1" s="115"/>
      <c r="D1" s="115"/>
    </row>
    <row r="2" spans="1:5" ht="334" customHeight="1" x14ac:dyDescent="0.2">
      <c r="A2" s="83" t="s">
        <v>636</v>
      </c>
      <c r="B2" s="83" t="s">
        <v>640</v>
      </c>
      <c r="C2" s="83" t="s">
        <v>637</v>
      </c>
      <c r="D2" s="83" t="s">
        <v>669</v>
      </c>
      <c r="E2" s="82" t="s">
        <v>665</v>
      </c>
    </row>
    <row r="3" spans="1:5" ht="16" x14ac:dyDescent="0.2">
      <c r="A3" s="81"/>
      <c r="B3" s="82"/>
    </row>
    <row r="4" spans="1:5" ht="15" customHeight="1" x14ac:dyDescent="0.2">
      <c r="A4" s="2"/>
    </row>
    <row r="21" spans="2:2" x14ac:dyDescent="0.2">
      <c r="B21"/>
    </row>
  </sheetData>
  <mergeCells count="1">
    <mergeCell ref="A1:D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275BDEF6C763C4C820C4B63A5445F90" ma:contentTypeVersion="8" ma:contentTypeDescription="Create a new document." ma:contentTypeScope="" ma:versionID="54d3dfc9a1ac22508006296fe469031e">
  <xsd:schema xmlns:xsd="http://www.w3.org/2001/XMLSchema" xmlns:xs="http://www.w3.org/2001/XMLSchema" xmlns:p="http://schemas.microsoft.com/office/2006/metadata/properties" xmlns:ns2="86f506af-313e-49d8-bc50-904d077a7af1" xmlns:ns3="bcea2e0e-168d-4aeb-8b55-93618c15898f" targetNamespace="http://schemas.microsoft.com/office/2006/metadata/properties" ma:root="true" ma:fieldsID="a7a50f65da5f9fd3b8db05fd93bdf0b6" ns2:_="" ns3:_="">
    <xsd:import namespace="86f506af-313e-49d8-bc50-904d077a7af1"/>
    <xsd:import namespace="bcea2e0e-168d-4aeb-8b55-93618c15898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f506af-313e-49d8-bc50-904d077a7a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cea2e0e-168d-4aeb-8b55-93618c15898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A8303C-1555-46C7-AEE4-9F7475B0CF4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C639B3B-01B3-442F-811E-9ECEA6F57A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f506af-313e-49d8-bc50-904d077a7af1"/>
    <ds:schemaRef ds:uri="bcea2e0e-168d-4aeb-8b55-93618c1589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EFB6AC-EBAA-491D-A9D0-365BF881EED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Employee Master Dataset</vt:lpstr>
      <vt:lpstr>Merit Increase Impact (2026)</vt:lpstr>
      <vt:lpstr>Survey Matching</vt:lpstr>
      <vt:lpstr>Salary Band Structure</vt:lpstr>
      <vt:lpstr>Merit Matrix</vt:lpstr>
      <vt:lpstr>STI Notes</vt:lpstr>
      <vt:lpstr>Notes for Employee Dataset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Andreas Persson</dc:creator>
  <cp:keywords/>
  <dc:description/>
  <cp:lastModifiedBy>Selin Cigdem Öztürk</cp:lastModifiedBy>
  <cp:revision/>
  <dcterms:created xsi:type="dcterms:W3CDTF">2025-10-17T10:17:53Z</dcterms:created>
  <dcterms:modified xsi:type="dcterms:W3CDTF">2026-02-27T21:05:33Z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0x0101002275BDEF6C763C4C820C4B63A5445F90</vt:lpwstr>
  </property>
</Properties>
</file>